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 firstSheet="2" activeTab="6"/>
  </bookViews>
  <sheets>
    <sheet name="Transaction" sheetId="1" r:id="rId1"/>
    <sheet name="Journal entries" sheetId="2" r:id="rId2"/>
    <sheet name="ledger" sheetId="3" r:id="rId3"/>
    <sheet name="Trial balance" sheetId="4" r:id="rId4"/>
    <sheet name="Trading Account" sheetId="5" r:id="rId5"/>
    <sheet name="P&amp;L Account" sheetId="6" r:id="rId6"/>
    <sheet name="Balance sheet" sheetId="7" r:id="rId7"/>
    <sheet name="Ratio Analysi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<sst xmlns="http://schemas.openxmlformats.org/spreadsheetml/2006/main" count="1230" uniqueCount="424">
  <si>
    <t>The following are the balances extracted from the books of M/s Bright Traders as on 1 March 2026 and the transactions entered during the month of March 2026.</t>
  </si>
  <si>
    <t>From the following information, prepare:</t>
  </si>
  <si>
    <t>1. Journal Entries</t>
  </si>
  <si>
    <t>2. Ledger Accounts</t>
  </si>
  <si>
    <t>3. Trial Balance</t>
  </si>
  <si>
    <t>4. Trading Account</t>
  </si>
  <si>
    <t>5. Profit &amp; Loss Account</t>
  </si>
  <si>
    <t>6. Balance Sheet as on 31st March 2026</t>
  </si>
  <si>
    <t>Opening Balances as on 1st March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</si>
  <si>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</si>
  <si>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</si>
  <si>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</si>
  <si>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</si>
  <si>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</si>
  <si>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</si>
  <si>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</si>
  <si>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Computer</t>
  </si>
  <si>
    <t>Debtors – Manoj Stores</t>
  </si>
  <si>
    <t>Debtors – Deepa Stores</t>
  </si>
  <si>
    <t>Creditors – Ravi Traders</t>
  </si>
  <si>
    <t>Creditors – Siva Suppliers</t>
  </si>
  <si>
    <t>Capital</t>
  </si>
  <si>
    <t>Bank Loan</t>
  </si>
  <si>
    <t>Transactions for March 2026</t>
  </si>
  <si>
    <t>Date</t>
  </si>
  <si>
    <t>Transactions</t>
  </si>
  <si>
    <t>Monday, March 02, 2026</t>
  </si>
  <si>
    <t>Purchased goods from Ravi Traders on credit ₹1,10,000</t>
  </si>
  <si>
    <t>Tuesday, March 03, 2026</t>
  </si>
  <si>
    <t>Purchased goods for cash ₹35,000</t>
  </si>
  <si>
    <t>Wednesday, March 04, 2026</t>
  </si>
  <si>
    <t>Sold goods to Manoj Stores on credit ₹1,60,000</t>
  </si>
  <si>
    <t>Thursday, March 05, 2026</t>
  </si>
  <si>
    <t>Sold goods for cash ₹75,000</t>
  </si>
  <si>
    <t>Friday, March 06, 2026</t>
  </si>
  <si>
    <t>Paid carriage inward ₹4,500</t>
  </si>
  <si>
    <t>Saturday, March 07, 2026</t>
  </si>
  <si>
    <t>Paid wages ₹15,000</t>
  </si>
  <si>
    <t>Sunday, March 08, 2026</t>
  </si>
  <si>
    <t>Returned goods to Ravi Traders worth ₹12,000</t>
  </si>
  <si>
    <t>Monday, March 09, 2026</t>
  </si>
  <si>
    <t>Manoj Stores returned goods worth ₹10,000</t>
  </si>
  <si>
    <t>Tuesday, March 10, 2026</t>
  </si>
  <si>
    <t>Purchased office equipment by cheque ₹50,000</t>
  </si>
  <si>
    <t>Wednesday, March 11, 2026</t>
  </si>
  <si>
    <t>Paid salary ₹22,000</t>
  </si>
  <si>
    <t>Thursday, March 12, 2026</t>
  </si>
  <si>
    <t>Received ₹2,10,000 from Manoj Stores and allowed discount ₹6,000</t>
  </si>
  <si>
    <t>Friday, March 13, 2026</t>
  </si>
  <si>
    <t>Paid Ravi Traders ₹1,50,000 by cheque and received discount ₹7,000</t>
  </si>
  <si>
    <t>Saturday, March 14, 2026</t>
  </si>
  <si>
    <t>Paid office rent ₹18,000</t>
  </si>
  <si>
    <t>Sunday, March 15, 2026</t>
  </si>
  <si>
    <t>Purchased goods on credit from Siva Suppliers ₹85,000</t>
  </si>
  <si>
    <t>Monday, March 16, 2026</t>
  </si>
  <si>
    <t>Sold goods on credit to Deepa Stores ₹1,20,000</t>
  </si>
  <si>
    <t>Tuesday, March 17, 2026</t>
  </si>
  <si>
    <t>Received ₹1,10,000 from Deepa Stores through bank</t>
  </si>
  <si>
    <t>Wednesday, March 18, 2026</t>
  </si>
  <si>
    <t>Paid electricity charges ₹5,500</t>
  </si>
  <si>
    <t>Thursday, March 19, 2026</t>
  </si>
  <si>
    <t>Received commission ₹9,000 in cash</t>
  </si>
  <si>
    <t>Friday, March 20, 2026</t>
  </si>
  <si>
    <t>Withdrew cash from bank for office use ₹20,000</t>
  </si>
  <si>
    <t>Saturday, March 21, 2026</t>
  </si>
  <si>
    <t>Drawings by proprietor in cash ₹12,000</t>
  </si>
  <si>
    <t>Sunday, March 22, 2026</t>
  </si>
  <si>
    <t>Paid insurance premium by cheque ₹6,000</t>
  </si>
  <si>
    <t>Monday, March 23, 2026</t>
  </si>
  <si>
    <t>Paid carriage outward ₹4,000</t>
  </si>
  <si>
    <t>Tuesday, March 24, 2026</t>
  </si>
  <si>
    <t>Received interest from bank ₹3,000</t>
  </si>
  <si>
    <t>Wednesday, March 25, 2026</t>
  </si>
  <si>
    <t>Purchased goods for cash ₹30,000</t>
  </si>
  <si>
    <t>Thursday, March 26, 2026</t>
  </si>
  <si>
    <t>Paid advertisement expenses ₹8,500</t>
  </si>
  <si>
    <t>Friday, March 27, 2026</t>
  </si>
  <si>
    <t>Paid miscellaneous expenses ₹2,500</t>
  </si>
  <si>
    <t>Saturday, March 28, 2026</t>
  </si>
  <si>
    <t>Purchased furniture for cash ₹25,000</t>
  </si>
  <si>
    <t>Sunday, March 29, 2026</t>
  </si>
  <si>
    <t>Paid bank loan interest ₹5,000</t>
  </si>
  <si>
    <t>Monday, March 30, 2026</t>
  </si>
  <si>
    <t>Deposited additional cash into bank ₹40,000</t>
  </si>
  <si>
    <t>Additional Information</t>
  </si>
  <si>
    <t>1. Closing stock on 31st March 2026 was valued at ₹1,10,000.</t>
  </si>
  <si>
    <t>2. Depreciate machinery @ 10% p.a.</t>
  </si>
  <si>
    <t>3. Depreciate furniture @ 5% p.a.</t>
  </si>
  <si>
    <t>4. Depreciate computer @ 10% p.a.</t>
  </si>
  <si>
    <t>5. Depreciate office equipment @ 10% p.a.</t>
  </si>
  <si>
    <t>6. Outstanding salary ₹3,000.</t>
  </si>
  <si>
    <t>7. Prepaid insurance ₹1,500.</t>
  </si>
  <si>
    <t>8. Interest on bank loan accrued but not paid ₹2,000.</t>
  </si>
  <si>
    <t>In the books of Journal Entries of bright traders for the month ended 31st March 2026</t>
  </si>
  <si>
    <t xml:space="preserve">Date </t>
  </si>
  <si>
    <t xml:space="preserve">Particulars </t>
  </si>
  <si>
    <t>L.F</t>
  </si>
  <si>
    <t>Amount ₹</t>
  </si>
  <si>
    <t>01.03.2026</t>
  </si>
  <si>
    <t>Cash a/c</t>
  </si>
  <si>
    <t>Dr</t>
  </si>
  <si>
    <t>Bank a/c</t>
  </si>
  <si>
    <t>Opening stock a/c</t>
  </si>
  <si>
    <t>Furniture a/c</t>
  </si>
  <si>
    <t>Machinery a/c</t>
  </si>
  <si>
    <t>Computer a/c</t>
  </si>
  <si>
    <t>Manoj Stores a/c</t>
  </si>
  <si>
    <t>Deepa Stores a/c</t>
  </si>
  <si>
    <t>To Capital a/c</t>
  </si>
  <si>
    <t>To Bank loan a/c</t>
  </si>
  <si>
    <t>To Ravi Traders a/c</t>
  </si>
  <si>
    <t>To Siva Suppliers a/c</t>
  </si>
  <si>
    <t>(Being Capital Introduced)</t>
  </si>
  <si>
    <t>02.03.2026</t>
  </si>
  <si>
    <t>Purchase a/c</t>
  </si>
  <si>
    <t>(Being Goods purchased )</t>
  </si>
  <si>
    <t>03.03.2026</t>
  </si>
  <si>
    <t>To Cash a/c</t>
  </si>
  <si>
    <t>04.03.2026</t>
  </si>
  <si>
    <t>To Sales a/c</t>
  </si>
  <si>
    <t>(Being goods sold )</t>
  </si>
  <si>
    <t>05.03.2026</t>
  </si>
  <si>
    <t>(Being Goods sold for cash )</t>
  </si>
  <si>
    <t>06.03.2026</t>
  </si>
  <si>
    <t>Carriage Inward a/c</t>
  </si>
  <si>
    <t>(Being Cash Paid )</t>
  </si>
  <si>
    <t>07.03.2026</t>
  </si>
  <si>
    <t>Wages a/c</t>
  </si>
  <si>
    <t>(Being cash Paid )</t>
  </si>
  <si>
    <t>08.03.2026</t>
  </si>
  <si>
    <t>Ravi Traders a/c</t>
  </si>
  <si>
    <t xml:space="preserve">To Purchase Return a/c </t>
  </si>
  <si>
    <t>(Being goods Returned to Ravi Traders)</t>
  </si>
  <si>
    <t>09.03.2026</t>
  </si>
  <si>
    <t>Sales Return a/c</t>
  </si>
  <si>
    <t>To Manoj Stores a/c</t>
  </si>
  <si>
    <t>(Being Goods returned by Manoj Stores)</t>
  </si>
  <si>
    <t>10.03.2026</t>
  </si>
  <si>
    <t>Office Equipment a/c</t>
  </si>
  <si>
    <t>To Bank a/c</t>
  </si>
  <si>
    <t>(Being office Equipment Purchased by bank)</t>
  </si>
  <si>
    <t>11.03.2026</t>
  </si>
  <si>
    <t xml:space="preserve">Salary a/c </t>
  </si>
  <si>
    <t>(Being salary paid )</t>
  </si>
  <si>
    <t>12.03.2026</t>
  </si>
  <si>
    <t xml:space="preserve">Cash a/c </t>
  </si>
  <si>
    <t xml:space="preserve">Discount allowed a/c </t>
  </si>
  <si>
    <t>(Being Cash Received and discount allowed to Manoj stores)</t>
  </si>
  <si>
    <t>13.03.2026</t>
  </si>
  <si>
    <t>To Discount Received a/c</t>
  </si>
  <si>
    <t>(Being Paid Ravi By Bank and Discount Received )</t>
  </si>
  <si>
    <t>14.03.2026</t>
  </si>
  <si>
    <t xml:space="preserve">Rent a/c </t>
  </si>
  <si>
    <t>(Being Rent paid)</t>
  </si>
  <si>
    <t>15.03.2026</t>
  </si>
  <si>
    <t>(Being goods Purchased on credit)</t>
  </si>
  <si>
    <t>16.03.2026</t>
  </si>
  <si>
    <t>(Being Sold goods on Credit to Deepa Stores)</t>
  </si>
  <si>
    <t>17.03.2026</t>
  </si>
  <si>
    <t>To Deepa Stores a/c</t>
  </si>
  <si>
    <t>(Being Cash Received through bank)</t>
  </si>
  <si>
    <t>18.03.2026</t>
  </si>
  <si>
    <t>Electricity Charges a/c</t>
  </si>
  <si>
    <t>19.03.2026</t>
  </si>
  <si>
    <t>To Commission Received a/c</t>
  </si>
  <si>
    <t>(Being Cash received )</t>
  </si>
  <si>
    <t>20.03.2026</t>
  </si>
  <si>
    <t>(Being Cash withdrawn From Bank for office use )</t>
  </si>
  <si>
    <t>21.03.2026</t>
  </si>
  <si>
    <t xml:space="preserve">Drawings a/c </t>
  </si>
  <si>
    <t>(Being Cash withdrawn by proprietor)</t>
  </si>
  <si>
    <t>22.03.2026</t>
  </si>
  <si>
    <t>Insurance Premium a/c</t>
  </si>
  <si>
    <t xml:space="preserve">To Bank a/c </t>
  </si>
  <si>
    <t>(Being Insurance Premium paid)</t>
  </si>
  <si>
    <t>23.03.2026</t>
  </si>
  <si>
    <t>Carriage Outward a/c</t>
  </si>
  <si>
    <t>(Being Carriage Outward Paid)</t>
  </si>
  <si>
    <t>24.03.2026</t>
  </si>
  <si>
    <t>To Interest Received a/c</t>
  </si>
  <si>
    <t>(Being Interest Received through Bank)</t>
  </si>
  <si>
    <t>25.03.2026</t>
  </si>
  <si>
    <t>(Being Goods Purchased for Cash)</t>
  </si>
  <si>
    <t>26.03.2026</t>
  </si>
  <si>
    <t>Advertisement a/c</t>
  </si>
  <si>
    <t>(Being Cash paid)</t>
  </si>
  <si>
    <t>27.03.2026</t>
  </si>
  <si>
    <t>Miscellaneous a/c</t>
  </si>
  <si>
    <t>(Being cash paid for Miscellaneous Expenses)</t>
  </si>
  <si>
    <t>28.03.2026</t>
  </si>
  <si>
    <t>29.03.2026</t>
  </si>
  <si>
    <t>Bank Loan Interest a/c</t>
  </si>
  <si>
    <t>(Being Bank loan interest paid)</t>
  </si>
  <si>
    <t>30.03.2026</t>
  </si>
  <si>
    <t>(Being Additional cash Deposited into Bank)</t>
  </si>
  <si>
    <t>In the books of Ledger Entries of bright traders for the month ended 31st March 2026</t>
  </si>
  <si>
    <t>Capital a/c</t>
  </si>
  <si>
    <t>Cr</t>
  </si>
  <si>
    <t>J.F</t>
  </si>
  <si>
    <t>By Cash a/c</t>
  </si>
  <si>
    <t>By Bank a/c</t>
  </si>
  <si>
    <t>By Opening stock a/c</t>
  </si>
  <si>
    <t>31.03.2026</t>
  </si>
  <si>
    <t>To Balance C/d</t>
  </si>
  <si>
    <t>By Furniture a/c</t>
  </si>
  <si>
    <t>By Machinery a/c</t>
  </si>
  <si>
    <t>By Computer a/c</t>
  </si>
  <si>
    <t>By Manoj Stores a/c</t>
  </si>
  <si>
    <t>By Deepa Stores a/c</t>
  </si>
  <si>
    <t>01.04.2026</t>
  </si>
  <si>
    <t>By Balance b/d</t>
  </si>
  <si>
    <t>To Balance b/d</t>
  </si>
  <si>
    <t>By Purchase a/c</t>
  </si>
  <si>
    <t>By Carriage Inward a/c</t>
  </si>
  <si>
    <t>By Wages a/c</t>
  </si>
  <si>
    <t xml:space="preserve">By Salary a/c </t>
  </si>
  <si>
    <t xml:space="preserve">By Rent a/c </t>
  </si>
  <si>
    <t>By Electricity Charges a/c</t>
  </si>
  <si>
    <t xml:space="preserve">By Drawings a/c </t>
  </si>
  <si>
    <t>By Carriage Outward a/c</t>
  </si>
  <si>
    <t>By Advertisement a/c</t>
  </si>
  <si>
    <t>By Miscellaneous a/c</t>
  </si>
  <si>
    <t>By Balance c/d</t>
  </si>
  <si>
    <t>Bank  a/c</t>
  </si>
  <si>
    <t>By Office Equipment a/c</t>
  </si>
  <si>
    <t>By Ravi Traders a/c</t>
  </si>
  <si>
    <t>By Insurance Premium a/c</t>
  </si>
  <si>
    <t>By Bank Loan Interest a/c</t>
  </si>
  <si>
    <t>Opening Stock   a/c</t>
  </si>
  <si>
    <t>Furniture   a/c</t>
  </si>
  <si>
    <t>Machinery   a/c</t>
  </si>
  <si>
    <t>Computer   a/c</t>
  </si>
  <si>
    <t>Manoj Stores   a/c</t>
  </si>
  <si>
    <t>By Sales Return a/c</t>
  </si>
  <si>
    <t xml:space="preserve">By Cash a/c </t>
  </si>
  <si>
    <t xml:space="preserve">By Discount allowed a/c </t>
  </si>
  <si>
    <t>Deepa  Stores   a/c</t>
  </si>
  <si>
    <t>Bank Loan   a/c</t>
  </si>
  <si>
    <t>To Balance c/d</t>
  </si>
  <si>
    <t>Ravi Traders  a/c</t>
  </si>
  <si>
    <t>By  Balance b/d</t>
  </si>
  <si>
    <t>Siva Suppliers a/c</t>
  </si>
  <si>
    <t xml:space="preserve">To Balance c/d </t>
  </si>
  <si>
    <t>01.04.20026</t>
  </si>
  <si>
    <t>Sales  a/c</t>
  </si>
  <si>
    <t>Carriage Inward  a/c</t>
  </si>
  <si>
    <t>Wages  a/c</t>
  </si>
  <si>
    <t>Purchase Return  a/c</t>
  </si>
  <si>
    <t>Sales Return  a/c</t>
  </si>
  <si>
    <t>Office Equipment  a/c</t>
  </si>
  <si>
    <t xml:space="preserve">By Balance c/d </t>
  </si>
  <si>
    <t>Salary  a/c</t>
  </si>
  <si>
    <t>Discount allowed  a/c</t>
  </si>
  <si>
    <t>Discount Received  a/c</t>
  </si>
  <si>
    <t>Rent a/c</t>
  </si>
  <si>
    <t>Elecricity Charges a/c</t>
  </si>
  <si>
    <t>Commission Received  a/c</t>
  </si>
  <si>
    <t>Drawings  a/c</t>
  </si>
  <si>
    <t>Insurance Premium  a/c</t>
  </si>
  <si>
    <t>Carriage Outward  a/c</t>
  </si>
  <si>
    <t>Interest Received a/c</t>
  </si>
  <si>
    <t>Advertisement  a/c</t>
  </si>
  <si>
    <t>Bank Loan Interest   a/c</t>
  </si>
  <si>
    <t>In the books of Trial Balances of bright traders for the month ended 31st March 2026</t>
  </si>
  <si>
    <t xml:space="preserve">S.No </t>
  </si>
  <si>
    <t>Debit ₹</t>
  </si>
  <si>
    <t>Credit ₹</t>
  </si>
  <si>
    <t>Opening Stock a/c</t>
  </si>
  <si>
    <t>Bank Loan a/c</t>
  </si>
  <si>
    <t>Sales a/c</t>
  </si>
  <si>
    <t>Purchase Return a/c</t>
  </si>
  <si>
    <t>Salary a/c</t>
  </si>
  <si>
    <t>Discount allowed a/c</t>
  </si>
  <si>
    <t>Discount Received a/c</t>
  </si>
  <si>
    <t>Commission Received a/c</t>
  </si>
  <si>
    <t>Total</t>
  </si>
  <si>
    <t>In the books of Trading Account of bright traders for the month ended 31st March 2026</t>
  </si>
  <si>
    <t xml:space="preserve">To Opening Stock </t>
  </si>
  <si>
    <t>By Sales a/c</t>
  </si>
  <si>
    <t>To Purchase a/c</t>
  </si>
  <si>
    <r>
      <rPr>
        <b/>
        <sz val="11"/>
        <color indexed="8"/>
        <rFont val="Calibri"/>
        <charset val="134"/>
        <scheme val="minor"/>
      </rPr>
      <t xml:space="preserve">Less : </t>
    </r>
    <r>
      <rPr>
        <sz val="11"/>
        <color indexed="8"/>
        <rFont val="Calibri"/>
        <charset val="134"/>
        <scheme val="minor"/>
      </rPr>
      <t>Purchase Return a/c</t>
    </r>
  </si>
  <si>
    <t xml:space="preserve">By Closing Stock </t>
  </si>
  <si>
    <t>To Direct Expenses :</t>
  </si>
  <si>
    <t>To Gross Profit c/d</t>
  </si>
  <si>
    <t>In the books of Profit and Loss Account of bright traders for the month ended 31st March 2026</t>
  </si>
  <si>
    <t xml:space="preserve">To Bank Loan Interest </t>
  </si>
  <si>
    <t xml:space="preserve">By Gross Profit </t>
  </si>
  <si>
    <r>
      <rPr>
        <b/>
        <sz val="11"/>
        <color indexed="8"/>
        <rFont val="Calibri"/>
        <charset val="134"/>
        <scheme val="minor"/>
      </rPr>
      <t>Add :</t>
    </r>
    <r>
      <rPr>
        <sz val="11"/>
        <color indexed="8"/>
        <rFont val="Calibri"/>
        <charset val="134"/>
        <scheme val="minor"/>
      </rPr>
      <t xml:space="preserve"> Accured interest </t>
    </r>
  </si>
  <si>
    <t xml:space="preserve">By Discount Received </t>
  </si>
  <si>
    <t>To Salary a/c</t>
  </si>
  <si>
    <t xml:space="preserve">By Commission Received </t>
  </si>
  <si>
    <r>
      <rPr>
        <b/>
        <sz val="11"/>
        <color indexed="8"/>
        <rFont val="Calibri"/>
        <charset val="134"/>
        <scheme val="minor"/>
      </rPr>
      <t>Add :</t>
    </r>
    <r>
      <rPr>
        <sz val="11"/>
        <color indexed="8"/>
        <rFont val="Calibri"/>
        <charset val="134"/>
        <scheme val="minor"/>
      </rPr>
      <t xml:space="preserve"> Outstanding Salary </t>
    </r>
  </si>
  <si>
    <t xml:space="preserve">By Interest Received </t>
  </si>
  <si>
    <t>To Discount allowed</t>
  </si>
  <si>
    <t>To Rent</t>
  </si>
  <si>
    <t xml:space="preserve">To Electricity Charges </t>
  </si>
  <si>
    <t xml:space="preserve">To Insurance Premium </t>
  </si>
  <si>
    <r>
      <rPr>
        <b/>
        <sz val="11"/>
        <color indexed="8"/>
        <rFont val="Calibri"/>
        <charset val="134"/>
        <scheme val="minor"/>
      </rPr>
      <t>Less :</t>
    </r>
    <r>
      <rPr>
        <sz val="11"/>
        <color indexed="8"/>
        <rFont val="Calibri"/>
        <charset val="134"/>
        <scheme val="minor"/>
      </rPr>
      <t xml:space="preserve"> Prepaid Insurance </t>
    </r>
  </si>
  <si>
    <t xml:space="preserve">To Carriage Outward </t>
  </si>
  <si>
    <t>To Advertisement</t>
  </si>
  <si>
    <t xml:space="preserve">To Miscellanous </t>
  </si>
  <si>
    <t>To Depreciation on Machinery 10%</t>
  </si>
  <si>
    <t>To Depreciation on  Furniture of 5%</t>
  </si>
  <si>
    <t>To Depreciation on Computer of 10%</t>
  </si>
  <si>
    <t>To Depreciation on Office Equipement of 10%</t>
  </si>
  <si>
    <t xml:space="preserve">To Net Profit </t>
  </si>
  <si>
    <t>Depreciation Adjustments</t>
  </si>
  <si>
    <t xml:space="preserve">Machinery </t>
  </si>
  <si>
    <t>Less :</t>
  </si>
  <si>
    <t>Depreciation 10% pa</t>
  </si>
  <si>
    <t>20,000*1/12</t>
  </si>
  <si>
    <t xml:space="preserve">Furniture </t>
  </si>
  <si>
    <t>Depreciation 5% pa</t>
  </si>
  <si>
    <t>3000* 1/12</t>
  </si>
  <si>
    <t xml:space="preserve">Computer </t>
  </si>
  <si>
    <t>Depreciation10% pa</t>
  </si>
  <si>
    <t>4000*1/12</t>
  </si>
  <si>
    <t xml:space="preserve">Office Equipment </t>
  </si>
  <si>
    <t>5,000*1/12</t>
  </si>
  <si>
    <t>In the books of Balance Sheet of bright traders for the month ended 31st March 2026</t>
  </si>
  <si>
    <t>Liabilities</t>
  </si>
  <si>
    <r>
      <rPr>
        <b/>
        <sz val="11"/>
        <color theme="1"/>
        <rFont val="Calibri"/>
        <charset val="134"/>
        <scheme val="minor"/>
      </rPr>
      <t xml:space="preserve">Amount </t>
    </r>
    <r>
      <rPr>
        <b/>
        <u/>
        <sz val="11"/>
        <color theme="1"/>
        <rFont val="Calibri"/>
        <charset val="134"/>
        <scheme val="minor"/>
      </rPr>
      <t>₹</t>
    </r>
  </si>
  <si>
    <t xml:space="preserve">Assets </t>
  </si>
  <si>
    <t xml:space="preserve">Capital </t>
  </si>
  <si>
    <t>Fixed Assets :</t>
  </si>
  <si>
    <r>
      <rPr>
        <b/>
        <sz val="11"/>
        <color theme="1"/>
        <rFont val="Calibri"/>
        <charset val="134"/>
        <scheme val="minor"/>
      </rPr>
      <t>Add :</t>
    </r>
    <r>
      <rPr>
        <sz val="11"/>
        <color theme="1"/>
        <rFont val="Calibri"/>
        <charset val="134"/>
        <scheme val="minor"/>
      </rPr>
      <t xml:space="preserve"> Net Profit </t>
    </r>
  </si>
  <si>
    <r>
      <rPr>
        <b/>
        <sz val="11"/>
        <color theme="1"/>
        <rFont val="Calibri"/>
        <charset val="134"/>
        <scheme val="minor"/>
      </rPr>
      <t>Less :</t>
    </r>
    <r>
      <rPr>
        <sz val="11"/>
        <color theme="1"/>
        <rFont val="Calibri"/>
        <charset val="134"/>
        <scheme val="minor"/>
      </rPr>
      <t xml:space="preserve"> Depreciation 10% pa</t>
    </r>
  </si>
  <si>
    <r>
      <rPr>
        <b/>
        <sz val="11"/>
        <color theme="1"/>
        <rFont val="Calibri"/>
        <charset val="134"/>
        <scheme val="minor"/>
      </rPr>
      <t>Less :</t>
    </r>
    <r>
      <rPr>
        <sz val="11"/>
        <color theme="1"/>
        <rFont val="Calibri"/>
        <charset val="134"/>
        <scheme val="minor"/>
      </rPr>
      <t xml:space="preserve"> Drawings </t>
    </r>
  </si>
  <si>
    <t>Current Liabilities :</t>
  </si>
  <si>
    <r>
      <rPr>
        <b/>
        <sz val="11"/>
        <color theme="1"/>
        <rFont val="Calibri"/>
        <charset val="134"/>
        <scheme val="minor"/>
      </rPr>
      <t>Less :</t>
    </r>
    <r>
      <rPr>
        <sz val="11"/>
        <color theme="1"/>
        <rFont val="Calibri"/>
        <charset val="134"/>
        <scheme val="minor"/>
      </rPr>
      <t xml:space="preserve"> Depreciation 5% pa</t>
    </r>
  </si>
  <si>
    <t xml:space="preserve">Outstanding Salary </t>
  </si>
  <si>
    <t xml:space="preserve">Accured Interest </t>
  </si>
  <si>
    <r>
      <rPr>
        <b/>
        <sz val="11"/>
        <color theme="1"/>
        <rFont val="Calibri"/>
        <charset val="134"/>
        <scheme val="minor"/>
      </rPr>
      <t>Less :</t>
    </r>
    <r>
      <rPr>
        <sz val="11"/>
        <color theme="1"/>
        <rFont val="Calibri"/>
        <charset val="134"/>
        <scheme val="minor"/>
      </rPr>
      <t xml:space="preserve"> Depreciation10% pa</t>
    </r>
  </si>
  <si>
    <t>Non- Current Liabilities :</t>
  </si>
  <si>
    <t xml:space="preserve">Bank Loan </t>
  </si>
  <si>
    <t>Sundry Creditors :</t>
  </si>
  <si>
    <t>Current Assets :</t>
  </si>
  <si>
    <t xml:space="preserve">Cash </t>
  </si>
  <si>
    <t xml:space="preserve">Bank </t>
  </si>
  <si>
    <t>Closing Stock</t>
  </si>
  <si>
    <t xml:space="preserve">Prepaid Insurance </t>
  </si>
  <si>
    <t>Sundry Debtors :</t>
  </si>
  <si>
    <t>Ratio Analysis</t>
  </si>
  <si>
    <t>₹</t>
  </si>
  <si>
    <t>Interpretation</t>
  </si>
  <si>
    <t xml:space="preserve">1.Current Ratio </t>
  </si>
  <si>
    <t xml:space="preserve">Current Assets / Current Liabilities </t>
  </si>
  <si>
    <t>Ideal Ratio is 2:1</t>
  </si>
  <si>
    <t>Current Assets</t>
  </si>
  <si>
    <t xml:space="preserve">Cash+Bank+Closing Stock+Prepaid Insurance+Debtors </t>
  </si>
  <si>
    <t xml:space="preserve">The Firm Has ₹ 2.31 of Current Assets for Every ₹ 1 Of Current Liabilities </t>
  </si>
  <si>
    <t xml:space="preserve">Current Liabilities </t>
  </si>
  <si>
    <t xml:space="preserve">Outstanding Salary + Accured Interest+ Creditors </t>
  </si>
  <si>
    <t xml:space="preserve">This Indicates Excellent Short Term Solvency and a very strong ability to meet its current Obligations </t>
  </si>
  <si>
    <t>Current Ratio</t>
  </si>
  <si>
    <t>=</t>
  </si>
  <si>
    <t>Slow Moving Inventory can falsely inflate liquidity</t>
  </si>
  <si>
    <t xml:space="preserve">2. Quick Ratio </t>
  </si>
  <si>
    <t xml:space="preserve">Quick Assets / Current Liabilities </t>
  </si>
  <si>
    <t>Ideal Ratio is 1: 1</t>
  </si>
  <si>
    <t xml:space="preserve">Quick Assets </t>
  </si>
  <si>
    <t>Current Assets - Inventory-Prepaid Expenses</t>
  </si>
  <si>
    <t xml:space="preserve">The Firm has ₹1.58 of Quick assets for Every ₹1 of Current Liabilities </t>
  </si>
  <si>
    <t>This Indicates Excellent immediate Liquidity and a very strong ability to meet short term obligations</t>
  </si>
  <si>
    <t>Quick Ratio</t>
  </si>
  <si>
    <t>Excluding all inventory undervalues liquid stock- heavy firms</t>
  </si>
  <si>
    <t>3. Cash Ratio</t>
  </si>
  <si>
    <t>( Cash + Cash Equivalents ) / Current Liabilities</t>
  </si>
  <si>
    <t>Ideal Ratio is 0.5 :1</t>
  </si>
  <si>
    <t>Cash and Cash Equivalents</t>
  </si>
  <si>
    <t>Cash + Bank</t>
  </si>
  <si>
    <t>The Firm has ₹1.19 of Cash and  cash equivalents for Every ₹ 1 of current Liabilities</t>
  </si>
  <si>
    <t>Comfortably meets all its short term obligations using only its cash and cash equivalents</t>
  </si>
  <si>
    <t>Cash Ratio</t>
  </si>
  <si>
    <t xml:space="preserve">Excess idle Cash lowers overall company profitability </t>
  </si>
  <si>
    <t>4. Debt to Equity Ratio</t>
  </si>
  <si>
    <t xml:space="preserve">Total Debt / Shareholders Equity </t>
  </si>
  <si>
    <t>Ideal Ratio is &lt;1.0</t>
  </si>
  <si>
    <t xml:space="preserve">Total Debt </t>
  </si>
  <si>
    <t>Current Liabilities + Non Current Liabilities</t>
  </si>
  <si>
    <t xml:space="preserve">The Firm Has ₹ 0.53 of total Debt For Every ₹ 1 of  Shareholders Equity . </t>
  </si>
  <si>
    <t xml:space="preserve">Shareholders Equity </t>
  </si>
  <si>
    <t xml:space="preserve">Capital + Net Profit- Drawings </t>
  </si>
  <si>
    <t xml:space="preserve">This indicates a very low level of financial leverage and a strong equity base </t>
  </si>
  <si>
    <t>Debt to Equity Ratio</t>
  </si>
  <si>
    <t>Capital Structures very too wildly across industries</t>
  </si>
  <si>
    <t xml:space="preserve">5.Debt to Asset Ratio </t>
  </si>
  <si>
    <t xml:space="preserve">Total Debt / Total Assets </t>
  </si>
  <si>
    <t>Ideal Ratio is &lt;50%</t>
  </si>
  <si>
    <t xml:space="preserve">The Firm Has ₹ 0.35 of debt for every ₹1 of total asset </t>
  </si>
  <si>
    <t xml:space="preserve">Total Assets </t>
  </si>
  <si>
    <t xml:space="preserve">Total Assets in the Balance Sheet </t>
  </si>
  <si>
    <t>The Firm Finances 23.53% of its assets through debt</t>
  </si>
  <si>
    <t>Debt to Asset Ratio</t>
  </si>
  <si>
    <t>Indicates Strong Financial stability and a low level of financial risk</t>
  </si>
  <si>
    <t xml:space="preserve">6. Asset Turnover Ratio </t>
  </si>
  <si>
    <t xml:space="preserve">Net Sales /Total Sales </t>
  </si>
  <si>
    <t>Ideal ratio is &gt;2 times</t>
  </si>
  <si>
    <t xml:space="preserve">Net Sales </t>
  </si>
  <si>
    <t xml:space="preserve">Sales - Sales Return </t>
  </si>
  <si>
    <t>The Firm generates ₹ 0.48 of net sales for every ₹ 1 invested imn total assets</t>
  </si>
  <si>
    <t>If Ratio is very low → Poor Utilization of assets .</t>
  </si>
  <si>
    <t>Asset Turnover Ratio</t>
  </si>
  <si>
    <t xml:space="preserve">It Indicating that assets are very not being used efficiently to generate sales </t>
  </si>
  <si>
    <t>7. Working Capital Turnover Ratio</t>
  </si>
  <si>
    <t>Net Sales /Working Capital</t>
  </si>
  <si>
    <t xml:space="preserve">Ideal Ratio is 5- 10 times </t>
  </si>
  <si>
    <t xml:space="preserve">The Inventory Turnover ratio is 1.74 times, which is below the ideal range of 5-10 times </t>
  </si>
  <si>
    <t>Working Capital</t>
  </si>
  <si>
    <t xml:space="preserve">Current Assets- Current Liabilities </t>
  </si>
  <si>
    <t>This indicates that inventory is moving relatively slowly and the business can improve its inventory and sales</t>
  </si>
  <si>
    <t>Working Capital Turnover Ratio</t>
  </si>
  <si>
    <t>Excessively high turnover causes frequent stockouts.</t>
  </si>
  <si>
    <t>8. Inventory Turnover Ratio</t>
  </si>
  <si>
    <t xml:space="preserve">Cost of Goods Sold / Average Inventory </t>
  </si>
  <si>
    <t xml:space="preserve">Ideal Ratio is 2-4 </t>
  </si>
  <si>
    <t>COGS</t>
  </si>
  <si>
    <t>Opening Stock + Purchase + Direct Expenses- Closing stock</t>
  </si>
  <si>
    <t xml:space="preserve">The Working Capital Turnover Ratio of 2.48 times is below the ideal range of 2-4 times </t>
  </si>
  <si>
    <t xml:space="preserve">Average Inventory </t>
  </si>
  <si>
    <t>Opening Stock + Closing Stock / 2</t>
  </si>
  <si>
    <t>The Business is not working capital efficiently to generate sales</t>
  </si>
  <si>
    <t>Inventory Turnover Ratio</t>
  </si>
  <si>
    <t>Low working capital creates deceptive efficiency signs.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</si>
</sst>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sz val="11"/>
      <color indexed="8"/>
      <name val="Calibri"/>
      <charset val="134"/>
      <scheme val="minor"/>
    </font>
    <font>
      <b/>
      <sz val="14"/>
      <color indexed="8"/>
      <name val="Calibri"/>
      <charset val="134"/>
      <scheme val="minor"/>
    </font>
    <font>
      <b/>
      <sz val="12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1"/>
      <color theme="1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1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16" applyNumberFormat="0" applyAlignment="0" applyProtection="0">
      <alignment vertical="center"/>
    </xf>
    <xf numFmtId="0" fontId="18" fillId="10" borderId="17" applyNumberFormat="0" applyAlignment="0" applyProtection="0">
      <alignment vertical="center"/>
    </xf>
    <xf numFmtId="0" fontId="19" fillId="10" borderId="16" applyNumberFormat="0" applyAlignment="0" applyProtection="0">
      <alignment vertical="center"/>
    </xf>
    <xf numFmtId="0" fontId="20" fillId="11" borderId="18" applyNumberFormat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9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2" fillId="2" borderId="3" xfId="0" applyFont="1" applyFill="1" applyBorder="1" applyAlignment="1"/>
    <xf numFmtId="0" fontId="0" fillId="2" borderId="4" xfId="0" applyFont="1" applyFill="1" applyBorder="1" applyAlignment="1">
      <alignment horizontal="center"/>
    </xf>
    <xf numFmtId="0" fontId="0" fillId="2" borderId="2" xfId="0" applyFont="1" applyFill="1" applyBorder="1" applyAlignment="1"/>
    <xf numFmtId="0" fontId="0" fillId="0" borderId="0" xfId="0" applyFont="1" applyFill="1" applyAlignment="1"/>
    <xf numFmtId="0" fontId="0" fillId="2" borderId="5" xfId="0" applyFont="1" applyFill="1" applyBorder="1" applyAlignment="1"/>
    <xf numFmtId="3" fontId="0" fillId="2" borderId="6" xfId="0" applyNumberFormat="1" applyFont="1" applyFill="1" applyBorder="1" applyAlignment="1">
      <alignment horizontal="center"/>
    </xf>
    <xf numFmtId="0" fontId="0" fillId="2" borderId="6" xfId="0" applyFont="1" applyFill="1" applyBorder="1" applyAlignment="1"/>
    <xf numFmtId="0" fontId="2" fillId="2" borderId="7" xfId="0" applyFont="1" applyFill="1" applyBorder="1" applyAlignment="1"/>
    <xf numFmtId="0" fontId="2" fillId="2" borderId="7" xfId="0" applyFont="1" applyFill="1" applyBorder="1" applyAlignment="1">
      <alignment horizontal="center"/>
    </xf>
    <xf numFmtId="2" fontId="2" fillId="2" borderId="8" xfId="0" applyNumberFormat="1" applyFont="1" applyFill="1" applyBorder="1" applyAlignment="1">
      <alignment horizontal="center"/>
    </xf>
    <xf numFmtId="0" fontId="0" fillId="2" borderId="8" xfId="0" applyFont="1" applyFill="1" applyBorder="1" applyAlignment="1"/>
    <xf numFmtId="0" fontId="2" fillId="0" borderId="0" xfId="0" applyFont="1" applyFill="1" applyAlignment="1"/>
    <xf numFmtId="0" fontId="2" fillId="2" borderId="5" xfId="0" applyFont="1" applyFill="1" applyBorder="1" applyAlignment="1"/>
    <xf numFmtId="0" fontId="2" fillId="2" borderId="6" xfId="0" applyFont="1" applyFill="1" applyBorder="1" applyAlignment="1"/>
    <xf numFmtId="0" fontId="0" fillId="2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2" xfId="0" applyFont="1" applyFill="1" applyBorder="1" applyAlignment="1"/>
    <xf numFmtId="0" fontId="0" fillId="2" borderId="2" xfId="0" applyFont="1" applyFill="1" applyBorder="1" applyAlignment="1">
      <alignment horizontal="center"/>
    </xf>
    <xf numFmtId="0" fontId="2" fillId="2" borderId="8" xfId="0" applyFont="1" applyFill="1" applyBorder="1" applyAlignment="1"/>
    <xf numFmtId="0" fontId="0" fillId="2" borderId="6" xfId="0" applyFont="1" applyFill="1" applyBorder="1" applyAlignment="1"/>
    <xf numFmtId="0" fontId="0" fillId="2" borderId="7" xfId="0" applyFont="1" applyFill="1" applyBorder="1" applyAlignment="1"/>
    <xf numFmtId="0" fontId="2" fillId="2" borderId="9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3" xfId="0" applyFont="1" applyFill="1" applyBorder="1" applyAlignment="1"/>
    <xf numFmtId="3" fontId="0" fillId="0" borderId="3" xfId="0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2" fillId="0" borderId="3" xfId="0" applyFont="1" applyFill="1" applyBorder="1" applyAlignment="1"/>
    <xf numFmtId="0" fontId="0" fillId="0" borderId="2" xfId="0" applyFont="1" applyFill="1" applyBorder="1" applyAlignment="1"/>
    <xf numFmtId="0" fontId="0" fillId="0" borderId="2" xfId="0" applyFont="1" applyFill="1" applyBorder="1" applyAlignment="1">
      <alignment horizontal="center"/>
    </xf>
    <xf numFmtId="0" fontId="0" fillId="0" borderId="5" xfId="0" applyFont="1" applyFill="1" applyBorder="1" applyAlignment="1"/>
    <xf numFmtId="3" fontId="0" fillId="0" borderId="8" xfId="0" applyNumberFormat="1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3" fontId="0" fillId="0" borderId="6" xfId="0" applyNumberFormat="1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3" fontId="0" fillId="0" borderId="5" xfId="0" applyNumberFormat="1" applyFont="1" applyFill="1" applyBorder="1" applyAlignment="1">
      <alignment horizontal="center"/>
    </xf>
    <xf numFmtId="0" fontId="2" fillId="0" borderId="5" xfId="0" applyFont="1" applyFill="1" applyBorder="1" applyAlignment="1"/>
    <xf numFmtId="0" fontId="0" fillId="0" borderId="5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center"/>
    </xf>
    <xf numFmtId="0" fontId="0" fillId="0" borderId="6" xfId="0" applyFont="1" applyFill="1" applyBorder="1" applyAlignment="1"/>
    <xf numFmtId="0" fontId="2" fillId="0" borderId="5" xfId="0" applyFont="1" applyFill="1" applyBorder="1" applyAlignment="1">
      <alignment horizontal="left"/>
    </xf>
    <xf numFmtId="0" fontId="0" fillId="0" borderId="7" xfId="0" applyFont="1" applyFill="1" applyBorder="1" applyAlignment="1"/>
    <xf numFmtId="3" fontId="2" fillId="0" borderId="1" xfId="0" applyNumberFormat="1" applyFont="1" applyFill="1" applyBorder="1" applyAlignment="1">
      <alignment horizontal="center"/>
    </xf>
    <xf numFmtId="0" fontId="0" fillId="0" borderId="8" xfId="0" applyFont="1" applyFill="1" applyBorder="1" applyAlignment="1"/>
    <xf numFmtId="0" fontId="4" fillId="0" borderId="0" xfId="0" applyNumberFormat="1" applyFont="1" applyFill="1" applyBorder="1" applyAlignment="1" applyProtection="1">
      <alignment horizontal="left"/>
    </xf>
    <xf numFmtId="0" fontId="5" fillId="0" borderId="0" xfId="0" applyNumberFormat="1" applyFont="1" applyFill="1" applyBorder="1" applyAlignment="1" applyProtection="1">
      <alignment horizontal="center"/>
    </xf>
    <xf numFmtId="0" fontId="5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horizontal="right"/>
    </xf>
    <xf numFmtId="0" fontId="4" fillId="5" borderId="1" xfId="0" applyNumberFormat="1" applyFont="1" applyFill="1" applyBorder="1" applyAlignment="1" applyProtection="1">
      <alignment horizontal="center"/>
    </xf>
    <xf numFmtId="0" fontId="5" fillId="0" borderId="2" xfId="0" applyNumberFormat="1" applyFont="1" applyFill="1" applyBorder="1" applyAlignment="1" applyProtection="1"/>
    <xf numFmtId="3" fontId="5" fillId="0" borderId="2" xfId="0" applyNumberFormat="1" applyFont="1" applyFill="1" applyBorder="1" applyAlignment="1" applyProtection="1">
      <alignment horizontal="center"/>
    </xf>
    <xf numFmtId="0" fontId="5" fillId="0" borderId="2" xfId="0" applyNumberFormat="1" applyFont="1" applyFill="1" applyBorder="1" applyAlignment="1" applyProtection="1">
      <alignment horizontal="center"/>
    </xf>
    <xf numFmtId="3" fontId="5" fillId="0" borderId="5" xfId="0" applyNumberFormat="1" applyFont="1" applyFill="1" applyBorder="1" applyAlignment="1" applyProtection="1">
      <alignment horizontal="center"/>
    </xf>
    <xf numFmtId="0" fontId="4" fillId="0" borderId="6" xfId="0" applyNumberFormat="1" applyFont="1" applyFill="1" applyBorder="1" applyAlignment="1" applyProtection="1"/>
    <xf numFmtId="3" fontId="5" fillId="0" borderId="8" xfId="0" applyNumberFormat="1" applyFont="1" applyFill="1" applyBorder="1" applyAlignment="1" applyProtection="1">
      <alignment horizontal="center"/>
    </xf>
    <xf numFmtId="3" fontId="5" fillId="0" borderId="6" xfId="0" applyNumberFormat="1" applyFont="1" applyFill="1" applyBorder="1" applyAlignment="1" applyProtection="1">
      <alignment horizontal="center"/>
    </xf>
    <xf numFmtId="0" fontId="5" fillId="0" borderId="6" xfId="0" applyNumberFormat="1" applyFont="1" applyFill="1" applyBorder="1" applyAlignment="1" applyProtection="1"/>
    <xf numFmtId="0" fontId="5" fillId="0" borderId="6" xfId="0" applyNumberFormat="1" applyFont="1" applyFill="1" applyBorder="1" applyAlignment="1" applyProtection="1">
      <alignment horizontal="center"/>
    </xf>
    <xf numFmtId="0" fontId="5" fillId="0" borderId="5" xfId="0" applyNumberFormat="1" applyFont="1" applyFill="1" applyBorder="1" applyAlignment="1" applyProtection="1">
      <alignment horizontal="center"/>
    </xf>
    <xf numFmtId="0" fontId="5" fillId="0" borderId="8" xfId="0" applyNumberFormat="1" applyFont="1" applyFill="1" applyBorder="1" applyAlignment="1" applyProtection="1"/>
    <xf numFmtId="0" fontId="5" fillId="0" borderId="8" xfId="0" applyNumberFormat="1" applyFont="1" applyFill="1" applyBorder="1" applyAlignment="1" applyProtection="1">
      <alignment horizontal="center"/>
    </xf>
    <xf numFmtId="3" fontId="4" fillId="0" borderId="1" xfId="0" applyNumberFormat="1" applyFont="1" applyFill="1" applyBorder="1" applyAlignment="1" applyProtection="1">
      <alignment horizontal="center"/>
    </xf>
    <xf numFmtId="0" fontId="0" fillId="4" borderId="10" xfId="0" applyFont="1" applyFill="1" applyBorder="1" applyAlignment="1">
      <alignment horizontal="center"/>
    </xf>
    <xf numFmtId="0" fontId="0" fillId="4" borderId="11" xfId="0" applyFont="1" applyFill="1" applyBorder="1" applyAlignment="1">
      <alignment horizontal="center"/>
    </xf>
    <xf numFmtId="0" fontId="0" fillId="4" borderId="12" xfId="0" applyFont="1" applyFill="1" applyBorder="1" applyAlignment="1">
      <alignment horizontal="center"/>
    </xf>
    <xf numFmtId="0" fontId="0" fillId="4" borderId="2" xfId="0" applyFont="1" applyFill="1" applyBorder="1" applyAlignment="1"/>
    <xf numFmtId="0" fontId="2" fillId="4" borderId="12" xfId="0" applyFont="1" applyFill="1" applyBorder="1" applyAlignment="1">
      <alignment horizontal="center"/>
    </xf>
    <xf numFmtId="0" fontId="0" fillId="4" borderId="6" xfId="0" applyFont="1" applyFill="1" applyBorder="1" applyAlignment="1"/>
    <xf numFmtId="3" fontId="0" fillId="4" borderId="6" xfId="0" applyNumberFormat="1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0" fillId="4" borderId="8" xfId="0" applyFont="1" applyFill="1" applyBorder="1" applyAlignment="1">
      <alignment horizontal="center"/>
    </xf>
    <xf numFmtId="3" fontId="0" fillId="4" borderId="1" xfId="0" applyNumberFormat="1" applyFont="1" applyFill="1" applyBorder="1" applyAlignment="1">
      <alignment horizontal="center"/>
    </xf>
    <xf numFmtId="3" fontId="0" fillId="4" borderId="8" xfId="0" applyNumberFormat="1" applyFont="1" applyFill="1" applyBorder="1" applyAlignment="1">
      <alignment horizontal="center"/>
    </xf>
    <xf numFmtId="0" fontId="0" fillId="4" borderId="6" xfId="0" applyFont="1" applyFill="1" applyBorder="1" applyAlignment="1">
      <alignment horizontal="center"/>
    </xf>
    <xf numFmtId="0" fontId="0" fillId="4" borderId="6" xfId="0" applyFont="1" applyFill="1" applyBorder="1" applyAlignment="1">
      <alignment horizontal="left"/>
    </xf>
    <xf numFmtId="0" fontId="2" fillId="4" borderId="8" xfId="0" applyFont="1" applyFill="1" applyBorder="1" applyAlignment="1">
      <alignment horizontal="center"/>
    </xf>
    <xf numFmtId="0" fontId="0" fillId="4" borderId="8" xfId="0" applyFont="1" applyFill="1" applyBorder="1" applyAlignment="1">
      <alignment horizontal="left"/>
    </xf>
    <xf numFmtId="0" fontId="6" fillId="6" borderId="0" xfId="0" applyNumberFormat="1" applyFont="1" applyFill="1" applyBorder="1" applyAlignment="1" applyProtection="1">
      <alignment horizontal="center"/>
    </xf>
    <xf numFmtId="0" fontId="4" fillId="5" borderId="12" xfId="0" applyNumberFormat="1" applyFont="1" applyFill="1" applyBorder="1" applyAlignment="1" applyProtection="1">
      <alignment horizontal="center"/>
    </xf>
    <xf numFmtId="0" fontId="5" fillId="0" borderId="3" xfId="0" applyNumberFormat="1" applyFont="1" applyFill="1" applyBorder="1" applyAlignment="1" applyProtection="1">
      <alignment horizontal="center"/>
    </xf>
    <xf numFmtId="0" fontId="5" fillId="0" borderId="1" xfId="0" applyNumberFormat="1" applyFont="1" applyFill="1" applyBorder="1" applyAlignment="1" applyProtection="1">
      <alignment horizontal="center"/>
    </xf>
    <xf numFmtId="0" fontId="5" fillId="0" borderId="1" xfId="0" applyNumberFormat="1" applyFont="1" applyFill="1" applyBorder="1" applyAlignment="1" applyProtection="1"/>
    <xf numFmtId="3" fontId="5" fillId="0" borderId="1" xfId="0" applyNumberFormat="1" applyFont="1" applyFill="1" applyBorder="1" applyAlignment="1" applyProtection="1">
      <alignment horizontal="center"/>
    </xf>
    <xf numFmtId="0" fontId="0" fillId="0" borderId="0" xfId="0" applyFont="1"/>
    <xf numFmtId="0" fontId="4" fillId="0" borderId="1" xfId="0" applyNumberFormat="1" applyFont="1" applyFill="1" applyBorder="1" applyAlignment="1" applyProtection="1">
      <alignment horizontal="center"/>
    </xf>
    <xf numFmtId="0" fontId="5" fillId="0" borderId="9" xfId="0" applyNumberFormat="1" applyFont="1" applyFill="1" applyBorder="1" applyAlignment="1" applyProtection="1">
      <alignment horizontal="center"/>
    </xf>
    <xf numFmtId="3" fontId="5" fillId="7" borderId="1" xfId="0" applyNumberFormat="1" applyFont="1" applyFill="1" applyBorder="1" applyAlignment="1" applyProtection="1">
      <alignment horizontal="center" vertical="center" wrapText="1"/>
    </xf>
    <xf numFmtId="3" fontId="5" fillId="0" borderId="0" xfId="0" applyNumberFormat="1" applyFont="1" applyFill="1" applyBorder="1" applyAlignment="1" applyProtection="1">
      <alignment horizontal="center"/>
    </xf>
    <xf numFmtId="0" fontId="7" fillId="6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/>
    </xf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7"/>
  <sheetViews>
    <sheetView topLeftCell="A9" workbookViewId="0">
      <selection activeCell="F28" sqref="F28"/>
    </sheetView>
  </sheetViews>
  <sheetFormatPr defaultColWidth="9" defaultRowHeight="15" outlineLevelCol="1"/>
  <cols>
    <col min="1" max="1" width="40.2857142857143" customWidth="1"/>
    <col min="2" max="2" width="11.7142857142857" customWidth="1"/>
  </cols>
  <sheetData>
    <row r="1" spans="1:2">
      <c r="A1" t="s">
        <v>0</v>
      </c>
    </row>
    <row r="3" spans="1:2">
      <c r="A3" t="s">
        <v>1</v>
      </c>
    </row>
    <row r="5" spans="1:2">
      <c r="A5" t="s">
        <v>2</v>
      </c>
    </row>
    <row r="6" spans="1:2">
      <c r="A6" t="s">
        <v>3</v>
      </c>
    </row>
    <row r="7" spans="1:2">
      <c r="A7" t="s">
        <v>4</v>
      </c>
    </row>
    <row r="8" spans="1:2">
      <c r="A8" t="s">
        <v>5</v>
      </c>
    </row>
    <row r="9" spans="1:2">
      <c r="A9" t="s">
        <v>6</v>
      </c>
    </row>
    <row r="10" spans="1:2">
      <c r="A10" t="s">
        <v>7</v>
      </c>
    </row>
    <row r="12" spans="1:2">
      <c r="A12" t="s">
        <v>8</v>
      </c>
    </row>
    <row r="13" spans="1:2">
      <c r="A13" t="s">
        <v>9</v>
      </c>
      <c r="B13" t="s">
        <v>10</v>
      </c>
    </row>
    <row r="14" spans="1:2">
      <c r="A14" t="s">
        <v>11</v>
      </c>
      <c r="B14" s="96">
        <v>45000</v>
      </c>
    </row>
    <row r="15" spans="1:2">
      <c r="A15" t="s">
        <v>12</v>
      </c>
      <c r="B15" s="96">
        <v>120000</v>
      </c>
    </row>
    <row r="16" spans="1:2">
      <c r="A16" t="s">
        <v>13</v>
      </c>
      <c r="B16" s="96">
        <v>90000</v>
      </c>
    </row>
    <row r="17" spans="1:2">
      <c r="A17" t="s">
        <v>14</v>
      </c>
      <c r="B17" s="96">
        <v>60000</v>
      </c>
    </row>
    <row r="18" spans="1:2">
      <c r="A18" t="s">
        <v>15</v>
      </c>
      <c r="B18" s="96">
        <v>200000</v>
      </c>
    </row>
    <row r="19" spans="1:2">
      <c r="A19" t="s">
        <v>16</v>
      </c>
      <c r="B19" s="96">
        <v>40000</v>
      </c>
    </row>
    <row r="20" spans="1:2">
      <c r="A20" t="s">
        <v>17</v>
      </c>
      <c r="B20" s="96">
        <v>70000</v>
      </c>
    </row>
    <row r="21" spans="1:2">
      <c r="A21" t="s">
        <v>18</v>
      </c>
      <c r="B21" s="96">
        <v>45000</v>
      </c>
    </row>
    <row r="22" spans="1:2">
      <c r="A22" t="s">
        <v>19</v>
      </c>
      <c r="B22" s="96">
        <v>80000</v>
      </c>
    </row>
    <row r="23" spans="1:2">
      <c r="A23" t="s">
        <v>20</v>
      </c>
      <c r="B23" s="96">
        <v>40000</v>
      </c>
    </row>
    <row r="24" spans="1:2">
      <c r="A24" t="s">
        <v>21</v>
      </c>
      <c r="B24" s="96">
        <v>450000</v>
      </c>
    </row>
    <row r="25" spans="1:2">
      <c r="A25" t="s">
        <v>22</v>
      </c>
      <c r="B25" s="96">
        <v>100000</v>
      </c>
    </row>
    <row r="27" spans="1:2">
      <c r="A27" t="s">
        <v>23</v>
      </c>
    </row>
    <row r="28" spans="1:2">
      <c r="A28" t="s">
        <v>24</v>
      </c>
      <c r="B28" t="s">
        <v>25</v>
      </c>
    </row>
    <row r="29" spans="1:2">
      <c r="A29" t="s">
        <v>26</v>
      </c>
      <c r="B29" t="s">
        <v>27</v>
      </c>
    </row>
    <row r="30" spans="1:2">
      <c r="A30" t="s">
        <v>28</v>
      </c>
      <c r="B30" t="s">
        <v>29</v>
      </c>
    </row>
    <row r="31" spans="1:2">
      <c r="A31" t="s">
        <v>30</v>
      </c>
      <c r="B31" t="s">
        <v>31</v>
      </c>
    </row>
    <row r="32" spans="1:2">
      <c r="A32" t="s">
        <v>32</v>
      </c>
      <c r="B32" t="s">
        <v>33</v>
      </c>
    </row>
    <row r="33" spans="1:2">
      <c r="A33" t="s">
        <v>34</v>
      </c>
      <c r="B33" t="s">
        <v>35</v>
      </c>
    </row>
    <row r="34" spans="1:2">
      <c r="A34" t="s">
        <v>36</v>
      </c>
      <c r="B34" t="s">
        <v>37</v>
      </c>
    </row>
    <row r="35" spans="1:2">
      <c r="A35" t="s">
        <v>38</v>
      </c>
      <c r="B35" t="s">
        <v>39</v>
      </c>
    </row>
    <row r="36" spans="1:2">
      <c r="A36" t="s">
        <v>40</v>
      </c>
      <c r="B36" t="s">
        <v>41</v>
      </c>
    </row>
    <row r="37" spans="1:2">
      <c r="A37" t="s">
        <v>42</v>
      </c>
      <c r="B37" t="s">
        <v>43</v>
      </c>
    </row>
    <row r="38" spans="1:2">
      <c r="A38" t="s">
        <v>44</v>
      </c>
      <c r="B38" t="s">
        <v>45</v>
      </c>
    </row>
    <row r="39" spans="1:2">
      <c r="A39" t="s">
        <v>46</v>
      </c>
      <c r="B39" t="s">
        <v>47</v>
      </c>
    </row>
    <row r="40" spans="1:2">
      <c r="A40" t="s">
        <v>48</v>
      </c>
      <c r="B40" t="s">
        <v>49</v>
      </c>
    </row>
    <row r="41" spans="1:2">
      <c r="A41" t="s">
        <v>50</v>
      </c>
      <c r="B41" t="s">
        <v>51</v>
      </c>
    </row>
    <row r="42" spans="1:2">
      <c r="A42" t="s">
        <v>52</v>
      </c>
      <c r="B42" t="s">
        <v>53</v>
      </c>
    </row>
    <row r="43" spans="1:2">
      <c r="A43" t="s">
        <v>54</v>
      </c>
      <c r="B43" t="s">
        <v>55</v>
      </c>
    </row>
    <row r="44" spans="1:2">
      <c r="A44" t="s">
        <v>56</v>
      </c>
      <c r="B44" t="s">
        <v>57</v>
      </c>
    </row>
    <row r="45" spans="1:2">
      <c r="A45" t="s">
        <v>58</v>
      </c>
      <c r="B45" t="s">
        <v>59</v>
      </c>
    </row>
    <row r="46" spans="1:2">
      <c r="A46" t="s">
        <v>60</v>
      </c>
      <c r="B46" t="s">
        <v>61</v>
      </c>
    </row>
    <row r="47" spans="1:2">
      <c r="A47" t="s">
        <v>62</v>
      </c>
      <c r="B47" t="s">
        <v>63</v>
      </c>
    </row>
    <row r="48" spans="1:2">
      <c r="A48" t="s">
        <v>64</v>
      </c>
      <c r="B48" t="s">
        <v>65</v>
      </c>
    </row>
    <row r="49" spans="1:2">
      <c r="A49" t="s">
        <v>66</v>
      </c>
      <c r="B49" t="s">
        <v>67</v>
      </c>
    </row>
    <row r="50" spans="1:2">
      <c r="A50" t="s">
        <v>68</v>
      </c>
      <c r="B50" t="s">
        <v>69</v>
      </c>
    </row>
    <row r="51" spans="1:2">
      <c r="A51" t="s">
        <v>70</v>
      </c>
      <c r="B51" t="s">
        <v>71</v>
      </c>
    </row>
    <row r="52" spans="1:2">
      <c r="A52" t="s">
        <v>72</v>
      </c>
      <c r="B52" t="s">
        <v>73</v>
      </c>
    </row>
    <row r="53" spans="1:2">
      <c r="A53" t="s">
        <v>74</v>
      </c>
      <c r="B53" t="s">
        <v>75</v>
      </c>
    </row>
    <row r="54" spans="1:2">
      <c r="A54" t="s">
        <v>76</v>
      </c>
      <c r="B54" t="s">
        <v>77</v>
      </c>
    </row>
    <row r="55" spans="1:2">
      <c r="A55" t="s">
        <v>78</v>
      </c>
      <c r="B55" t="s">
        <v>79</v>
      </c>
    </row>
    <row r="56" spans="1:2">
      <c r="A56" t="s">
        <v>80</v>
      </c>
      <c r="B56" t="s">
        <v>81</v>
      </c>
    </row>
    <row r="57" spans="1:2">
      <c r="A57" t="s">
        <v>82</v>
      </c>
      <c r="B57" t="s">
        <v>83</v>
      </c>
    </row>
    <row r="59" spans="1:2">
      <c r="A59" t="s">
        <v>84</v>
      </c>
    </row>
    <row r="60" spans="1:2">
      <c r="A60" t="s">
        <v>85</v>
      </c>
    </row>
    <row r="61" spans="1:2">
      <c r="A61" t="s">
        <v>86</v>
      </c>
    </row>
    <row r="62" spans="1:2">
      <c r="A62" t="s">
        <v>87</v>
      </c>
    </row>
    <row r="63" spans="1:2">
      <c r="A63" t="s">
        <v>88</v>
      </c>
    </row>
    <row r="64" spans="1:2">
      <c r="A64" t="s">
        <v>89</v>
      </c>
    </row>
    <row r="65" spans="1:1">
      <c r="A65" t="s">
        <v>90</v>
      </c>
    </row>
    <row r="66" spans="1:1">
      <c r="A66" t="s">
        <v>91</v>
      </c>
    </row>
    <row r="67" spans="1:1">
      <c r="A67" t="s">
        <v>92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5"/>
  <sheetViews>
    <sheetView workbookViewId="0">
      <selection activeCell="G13" sqref="G13"/>
    </sheetView>
  </sheetViews>
  <sheetFormatPr defaultColWidth="9" defaultRowHeight="15" outlineLevelCol="5"/>
  <cols>
    <col min="1" max="1" width="13.7142857142857" customWidth="1"/>
    <col min="2" max="2" width="42.4285714285714" customWidth="1"/>
    <col min="3" max="3" width="8.42857142857143" customWidth="1"/>
    <col min="4" max="4" width="6" customWidth="1"/>
    <col min="5" max="5" width="20" customWidth="1"/>
    <col min="6" max="6" width="20.7142857142857" customWidth="1"/>
  </cols>
  <sheetData>
    <row r="1" ht="15.75" spans="1:6">
      <c r="A1" s="94" t="s">
        <v>93</v>
      </c>
      <c r="B1" s="94"/>
      <c r="C1" s="94"/>
      <c r="D1" s="94"/>
      <c r="E1" s="94"/>
      <c r="F1" s="94"/>
    </row>
    <row r="2" spans="1:6">
      <c r="A2" s="50"/>
      <c r="B2" s="51"/>
      <c r="C2" s="95"/>
      <c r="D2" s="51"/>
      <c r="E2" s="50"/>
      <c r="F2" s="50"/>
    </row>
    <row r="3" spans="1:6">
      <c r="A3" s="53" t="s">
        <v>94</v>
      </c>
      <c r="B3" s="53" t="s">
        <v>95</v>
      </c>
      <c r="C3" s="53"/>
      <c r="D3" s="53" t="s">
        <v>96</v>
      </c>
      <c r="E3" s="53" t="s">
        <v>97</v>
      </c>
      <c r="F3" s="53" t="s">
        <v>97</v>
      </c>
    </row>
    <row r="4" spans="1:6">
      <c r="A4" s="86" t="s">
        <v>98</v>
      </c>
      <c r="B4" s="87" t="s">
        <v>99</v>
      </c>
      <c r="C4" s="90" t="s">
        <v>100</v>
      </c>
      <c r="D4" s="87"/>
      <c r="E4" s="92">
        <v>45000</v>
      </c>
      <c r="F4" s="86"/>
    </row>
    <row r="5" spans="1:6">
      <c r="A5" s="86" t="s">
        <v>98</v>
      </c>
      <c r="B5" s="87" t="s">
        <v>101</v>
      </c>
      <c r="C5" s="90" t="s">
        <v>100</v>
      </c>
      <c r="D5" s="87"/>
      <c r="E5" s="92">
        <v>120000</v>
      </c>
      <c r="F5" s="86"/>
    </row>
    <row r="6" spans="1:6">
      <c r="A6" s="86" t="s">
        <v>98</v>
      </c>
      <c r="B6" s="87" t="s">
        <v>102</v>
      </c>
      <c r="C6" s="90" t="s">
        <v>100</v>
      </c>
      <c r="D6" s="87"/>
      <c r="E6" s="92">
        <v>90000</v>
      </c>
      <c r="F6" s="86"/>
    </row>
    <row r="7" spans="1:6">
      <c r="A7" s="86" t="s">
        <v>98</v>
      </c>
      <c r="B7" s="87" t="s">
        <v>103</v>
      </c>
      <c r="C7" s="90" t="s">
        <v>100</v>
      </c>
      <c r="D7" s="87"/>
      <c r="E7" s="92">
        <v>60000</v>
      </c>
      <c r="F7" s="86"/>
    </row>
    <row r="8" spans="1:6">
      <c r="A8" s="86" t="s">
        <v>98</v>
      </c>
      <c r="B8" s="87" t="s">
        <v>104</v>
      </c>
      <c r="C8" s="90" t="s">
        <v>100</v>
      </c>
      <c r="D8" s="87"/>
      <c r="E8" s="92">
        <v>200000</v>
      </c>
      <c r="F8" s="86"/>
    </row>
    <row r="9" spans="1:6">
      <c r="A9" s="86" t="s">
        <v>98</v>
      </c>
      <c r="B9" s="87" t="s">
        <v>105</v>
      </c>
      <c r="C9" s="90" t="s">
        <v>100</v>
      </c>
      <c r="D9" s="87"/>
      <c r="E9" s="92">
        <v>40000</v>
      </c>
      <c r="F9" s="86"/>
    </row>
    <row r="10" spans="1:6">
      <c r="A10" s="86" t="s">
        <v>98</v>
      </c>
      <c r="B10" s="87" t="s">
        <v>106</v>
      </c>
      <c r="C10" s="90" t="s">
        <v>100</v>
      </c>
      <c r="D10" s="87"/>
      <c r="E10" s="92">
        <v>70000</v>
      </c>
      <c r="F10" s="86"/>
    </row>
    <row r="11" spans="1:6">
      <c r="A11" s="86" t="s">
        <v>98</v>
      </c>
      <c r="B11" s="87" t="s">
        <v>107</v>
      </c>
      <c r="C11" s="90" t="s">
        <v>100</v>
      </c>
      <c r="D11" s="87"/>
      <c r="E11" s="92">
        <v>45000</v>
      </c>
      <c r="F11" s="86"/>
    </row>
    <row r="12" spans="1:6">
      <c r="A12" s="86"/>
      <c r="B12" s="87" t="s">
        <v>108</v>
      </c>
      <c r="C12" s="90"/>
      <c r="D12" s="87"/>
      <c r="E12" s="86"/>
      <c r="F12" s="88">
        <v>450000</v>
      </c>
    </row>
    <row r="13" spans="1:6">
      <c r="A13" s="86"/>
      <c r="B13" s="87" t="s">
        <v>109</v>
      </c>
      <c r="C13" s="90"/>
      <c r="D13" s="87"/>
      <c r="E13" s="86"/>
      <c r="F13" s="88">
        <v>100000</v>
      </c>
    </row>
    <row r="14" spans="1:6">
      <c r="A14" s="86"/>
      <c r="B14" s="87" t="s">
        <v>110</v>
      </c>
      <c r="C14" s="90"/>
      <c r="D14" s="87"/>
      <c r="E14" s="86"/>
      <c r="F14" s="88">
        <v>80000</v>
      </c>
    </row>
    <row r="15" spans="1:6">
      <c r="A15" s="86"/>
      <c r="B15" s="87" t="s">
        <v>111</v>
      </c>
      <c r="C15" s="90"/>
      <c r="D15" s="87"/>
      <c r="E15" s="86"/>
      <c r="F15" s="88">
        <v>40000</v>
      </c>
    </row>
    <row r="16" spans="1:6">
      <c r="A16" s="86"/>
      <c r="B16" s="87" t="s">
        <v>112</v>
      </c>
      <c r="C16" s="90"/>
      <c r="D16" s="87"/>
      <c r="E16" s="86"/>
      <c r="F16" s="86"/>
    </row>
    <row r="17" spans="1:6">
      <c r="A17" s="86" t="s">
        <v>113</v>
      </c>
      <c r="B17" s="87" t="s">
        <v>114</v>
      </c>
      <c r="C17" s="90" t="s">
        <v>100</v>
      </c>
      <c r="D17" s="87"/>
      <c r="E17" s="88">
        <v>110000</v>
      </c>
      <c r="F17" s="86"/>
    </row>
    <row r="18" spans="1:6">
      <c r="A18" s="86"/>
      <c r="B18" s="87" t="s">
        <v>110</v>
      </c>
      <c r="C18" s="90"/>
      <c r="D18" s="87"/>
      <c r="E18" s="86"/>
      <c r="F18" s="88">
        <v>110000</v>
      </c>
    </row>
    <row r="19" spans="1:6">
      <c r="A19" s="86"/>
      <c r="B19" s="87" t="s">
        <v>115</v>
      </c>
      <c r="C19" s="90"/>
      <c r="D19" s="87"/>
      <c r="E19" s="86"/>
      <c r="F19" s="86"/>
    </row>
    <row r="20" spans="1:6">
      <c r="A20" s="86" t="s">
        <v>116</v>
      </c>
      <c r="B20" s="87" t="s">
        <v>114</v>
      </c>
      <c r="C20" s="90" t="s">
        <v>100</v>
      </c>
      <c r="D20" s="87"/>
      <c r="E20" s="88">
        <v>35000</v>
      </c>
      <c r="F20" s="86"/>
    </row>
    <row r="21" spans="1:6">
      <c r="A21" s="86"/>
      <c r="B21" s="87" t="s">
        <v>117</v>
      </c>
      <c r="C21" s="90"/>
      <c r="D21" s="87"/>
      <c r="E21" s="86"/>
      <c r="F21" s="88">
        <v>35000</v>
      </c>
    </row>
    <row r="22" spans="1:6">
      <c r="A22" s="86"/>
      <c r="B22" s="87" t="s">
        <v>115</v>
      </c>
      <c r="C22" s="90"/>
      <c r="D22" s="87"/>
      <c r="E22" s="86"/>
      <c r="F22" s="86"/>
    </row>
    <row r="23" spans="1:6">
      <c r="A23" s="86" t="s">
        <v>118</v>
      </c>
      <c r="B23" s="87" t="s">
        <v>106</v>
      </c>
      <c r="C23" s="90" t="s">
        <v>100</v>
      </c>
      <c r="D23" s="87"/>
      <c r="E23" s="88">
        <v>160000</v>
      </c>
      <c r="F23" s="86"/>
    </row>
    <row r="24" spans="1:6">
      <c r="A24" s="86"/>
      <c r="B24" s="87" t="s">
        <v>119</v>
      </c>
      <c r="C24" s="90"/>
      <c r="D24" s="87"/>
      <c r="E24" s="86"/>
      <c r="F24" s="88">
        <v>160000</v>
      </c>
    </row>
    <row r="25" spans="1:6">
      <c r="A25" s="86"/>
      <c r="B25" s="87" t="s">
        <v>120</v>
      </c>
      <c r="C25" s="90"/>
      <c r="D25" s="87"/>
      <c r="E25" s="86"/>
      <c r="F25" s="86"/>
    </row>
    <row r="26" spans="1:6">
      <c r="A26" s="86" t="s">
        <v>121</v>
      </c>
      <c r="B26" s="87" t="s">
        <v>99</v>
      </c>
      <c r="C26" s="90" t="s">
        <v>100</v>
      </c>
      <c r="D26" s="87"/>
      <c r="E26" s="88">
        <v>75000</v>
      </c>
      <c r="F26" s="86"/>
    </row>
    <row r="27" spans="1:6">
      <c r="A27" s="86"/>
      <c r="B27" s="87" t="s">
        <v>119</v>
      </c>
      <c r="C27" s="90"/>
      <c r="D27" s="87"/>
      <c r="E27" s="86"/>
      <c r="F27" s="88">
        <v>75000</v>
      </c>
    </row>
    <row r="28" spans="1:6">
      <c r="A28" s="86"/>
      <c r="B28" s="87" t="s">
        <v>122</v>
      </c>
      <c r="C28" s="90"/>
      <c r="D28" s="87"/>
      <c r="E28" s="86"/>
      <c r="F28" s="86"/>
    </row>
    <row r="29" spans="1:6">
      <c r="A29" s="86" t="s">
        <v>123</v>
      </c>
      <c r="B29" s="87" t="s">
        <v>124</v>
      </c>
      <c r="C29" s="90" t="s">
        <v>100</v>
      </c>
      <c r="D29" s="87"/>
      <c r="E29" s="88">
        <v>4500</v>
      </c>
      <c r="F29" s="86"/>
    </row>
    <row r="30" spans="1:6">
      <c r="A30" s="86"/>
      <c r="B30" s="87" t="s">
        <v>117</v>
      </c>
      <c r="C30" s="90"/>
      <c r="D30" s="87"/>
      <c r="E30" s="86"/>
      <c r="F30" s="88">
        <v>4500</v>
      </c>
    </row>
    <row r="31" spans="1:6">
      <c r="A31" s="86"/>
      <c r="B31" s="87" t="s">
        <v>125</v>
      </c>
      <c r="C31" s="90"/>
      <c r="D31" s="87"/>
      <c r="E31" s="86"/>
      <c r="F31" s="86"/>
    </row>
    <row r="32" spans="1:6">
      <c r="A32" s="86" t="s">
        <v>126</v>
      </c>
      <c r="B32" s="87" t="s">
        <v>127</v>
      </c>
      <c r="C32" s="90" t="s">
        <v>100</v>
      </c>
      <c r="D32" s="87"/>
      <c r="E32" s="88">
        <v>15000</v>
      </c>
      <c r="F32" s="86"/>
    </row>
    <row r="33" spans="1:6">
      <c r="A33" s="86"/>
      <c r="B33" s="87" t="s">
        <v>117</v>
      </c>
      <c r="C33" s="90"/>
      <c r="D33" s="87"/>
      <c r="E33" s="86"/>
      <c r="F33" s="88">
        <v>15000</v>
      </c>
    </row>
    <row r="34" spans="1:6">
      <c r="A34" s="86"/>
      <c r="B34" s="87" t="s">
        <v>128</v>
      </c>
      <c r="C34" s="90"/>
      <c r="D34" s="87"/>
      <c r="E34" s="86"/>
      <c r="F34" s="86"/>
    </row>
    <row r="35" spans="1:6">
      <c r="A35" s="86" t="s">
        <v>129</v>
      </c>
      <c r="B35" s="87" t="s">
        <v>130</v>
      </c>
      <c r="C35" s="90" t="s">
        <v>100</v>
      </c>
      <c r="D35" s="87"/>
      <c r="E35" s="88">
        <v>12000</v>
      </c>
      <c r="F35" s="86"/>
    </row>
    <row r="36" spans="1:6">
      <c r="A36" s="86"/>
      <c r="B36" s="87" t="s">
        <v>131</v>
      </c>
      <c r="C36" s="90"/>
      <c r="D36" s="87"/>
      <c r="E36" s="86"/>
      <c r="F36" s="88">
        <v>12000</v>
      </c>
    </row>
    <row r="37" spans="1:6">
      <c r="A37" s="86"/>
      <c r="B37" s="87" t="s">
        <v>132</v>
      </c>
      <c r="C37" s="90"/>
      <c r="D37" s="87"/>
      <c r="E37" s="86"/>
      <c r="F37" s="86"/>
    </row>
    <row r="38" spans="1:6">
      <c r="A38" s="86" t="s">
        <v>133</v>
      </c>
      <c r="B38" s="87" t="s">
        <v>134</v>
      </c>
      <c r="C38" s="90" t="s">
        <v>100</v>
      </c>
      <c r="D38" s="87"/>
      <c r="E38" s="88">
        <v>10000</v>
      </c>
      <c r="F38" s="86"/>
    </row>
    <row r="39" spans="1:6">
      <c r="A39" s="86"/>
      <c r="B39" s="87" t="s">
        <v>135</v>
      </c>
      <c r="C39" s="90"/>
      <c r="D39" s="87"/>
      <c r="E39" s="86"/>
      <c r="F39" s="88">
        <v>10000</v>
      </c>
    </row>
    <row r="40" spans="1:6">
      <c r="A40" s="86"/>
      <c r="B40" s="87" t="s">
        <v>136</v>
      </c>
      <c r="C40" s="90"/>
      <c r="D40" s="87"/>
      <c r="E40" s="86"/>
      <c r="F40" s="86"/>
    </row>
    <row r="41" spans="1:6">
      <c r="A41" s="86" t="s">
        <v>137</v>
      </c>
      <c r="B41" s="87" t="s">
        <v>138</v>
      </c>
      <c r="C41" s="90" t="s">
        <v>100</v>
      </c>
      <c r="D41" s="87"/>
      <c r="E41" s="88">
        <v>50000</v>
      </c>
      <c r="F41" s="86"/>
    </row>
    <row r="42" spans="1:6">
      <c r="A42" s="86"/>
      <c r="B42" s="87" t="s">
        <v>139</v>
      </c>
      <c r="C42" s="90"/>
      <c r="D42" s="87"/>
      <c r="E42" s="86"/>
      <c r="F42" s="88">
        <v>50000</v>
      </c>
    </row>
    <row r="43" spans="1:6">
      <c r="A43" s="86"/>
      <c r="B43" s="87" t="s">
        <v>140</v>
      </c>
      <c r="C43" s="90"/>
      <c r="D43" s="87"/>
      <c r="E43" s="86"/>
      <c r="F43" s="86"/>
    </row>
    <row r="44" spans="1:6">
      <c r="A44" s="86" t="s">
        <v>141</v>
      </c>
      <c r="B44" s="87" t="s">
        <v>142</v>
      </c>
      <c r="C44" s="90" t="s">
        <v>100</v>
      </c>
      <c r="D44" s="87"/>
      <c r="E44" s="88">
        <v>22000</v>
      </c>
      <c r="F44" s="86"/>
    </row>
    <row r="45" spans="1:6">
      <c r="A45" s="86"/>
      <c r="B45" s="87" t="s">
        <v>117</v>
      </c>
      <c r="C45" s="90"/>
      <c r="D45" s="87"/>
      <c r="E45" s="86"/>
      <c r="F45" s="88">
        <v>22000</v>
      </c>
    </row>
    <row r="46" spans="1:6">
      <c r="A46" s="86"/>
      <c r="B46" s="87" t="s">
        <v>143</v>
      </c>
      <c r="C46" s="90"/>
      <c r="D46" s="87"/>
      <c r="E46" s="86"/>
      <c r="F46" s="86"/>
    </row>
    <row r="47" spans="1:6">
      <c r="A47" s="86" t="s">
        <v>144</v>
      </c>
      <c r="B47" s="87" t="s">
        <v>145</v>
      </c>
      <c r="C47" s="90" t="s">
        <v>100</v>
      </c>
      <c r="D47" s="87"/>
      <c r="E47" s="88">
        <v>210000</v>
      </c>
      <c r="F47" s="86"/>
    </row>
    <row r="48" spans="1:6">
      <c r="A48" s="86"/>
      <c r="B48" s="87" t="s">
        <v>146</v>
      </c>
      <c r="C48" s="90" t="s">
        <v>100</v>
      </c>
      <c r="D48" s="87"/>
      <c r="E48" s="88">
        <v>6000</v>
      </c>
      <c r="F48" s="86"/>
    </row>
    <row r="49" spans="1:6">
      <c r="A49" s="86"/>
      <c r="B49" s="87" t="s">
        <v>135</v>
      </c>
      <c r="C49" s="90"/>
      <c r="D49" s="87"/>
      <c r="E49" s="86"/>
      <c r="F49" s="88">
        <v>216000</v>
      </c>
    </row>
    <row r="50" spans="1:6">
      <c r="A50" s="86"/>
      <c r="B50" s="87" t="s">
        <v>147</v>
      </c>
      <c r="C50" s="90"/>
      <c r="D50" s="87"/>
      <c r="E50" s="86"/>
      <c r="F50" s="86"/>
    </row>
    <row r="51" spans="1:6">
      <c r="A51" s="86" t="s">
        <v>148</v>
      </c>
      <c r="B51" s="87" t="s">
        <v>130</v>
      </c>
      <c r="C51" s="90" t="s">
        <v>100</v>
      </c>
      <c r="D51" s="87"/>
      <c r="E51" s="88">
        <v>157000</v>
      </c>
      <c r="F51" s="86"/>
    </row>
    <row r="52" spans="1:6">
      <c r="A52" s="86"/>
      <c r="B52" s="87" t="s">
        <v>139</v>
      </c>
      <c r="C52" s="90"/>
      <c r="D52" s="87"/>
      <c r="E52" s="86"/>
      <c r="F52" s="88">
        <v>150000</v>
      </c>
    </row>
    <row r="53" spans="1:6">
      <c r="A53" s="86"/>
      <c r="B53" s="87" t="s">
        <v>149</v>
      </c>
      <c r="C53" s="90"/>
      <c r="D53" s="87"/>
      <c r="E53" s="86"/>
      <c r="F53" s="88">
        <v>7000</v>
      </c>
    </row>
    <row r="54" spans="1:6">
      <c r="A54" s="86"/>
      <c r="B54" s="87" t="s">
        <v>150</v>
      </c>
      <c r="C54" s="90"/>
      <c r="D54" s="87"/>
      <c r="E54" s="86"/>
      <c r="F54" s="86"/>
    </row>
    <row r="55" spans="1:6">
      <c r="A55" s="86" t="s">
        <v>151</v>
      </c>
      <c r="B55" s="87" t="s">
        <v>152</v>
      </c>
      <c r="C55" s="90" t="s">
        <v>100</v>
      </c>
      <c r="D55" s="87"/>
      <c r="E55" s="88">
        <v>18000</v>
      </c>
      <c r="F55" s="86"/>
    </row>
    <row r="56" spans="1:6">
      <c r="A56" s="86"/>
      <c r="B56" s="87" t="s">
        <v>117</v>
      </c>
      <c r="C56" s="90"/>
      <c r="D56" s="87"/>
      <c r="E56" s="86"/>
      <c r="F56" s="88">
        <v>18000</v>
      </c>
    </row>
    <row r="57" spans="1:6">
      <c r="A57" s="86"/>
      <c r="B57" s="87" t="s">
        <v>153</v>
      </c>
      <c r="C57" s="90"/>
      <c r="D57" s="87"/>
      <c r="E57" s="86"/>
      <c r="F57" s="86"/>
    </row>
    <row r="58" spans="1:6">
      <c r="A58" s="86" t="s">
        <v>154</v>
      </c>
      <c r="B58" s="87" t="s">
        <v>114</v>
      </c>
      <c r="C58" s="90" t="s">
        <v>100</v>
      </c>
      <c r="D58" s="87"/>
      <c r="E58" s="88">
        <v>85000</v>
      </c>
      <c r="F58" s="86"/>
    </row>
    <row r="59" spans="1:6">
      <c r="A59" s="86"/>
      <c r="B59" s="87" t="s">
        <v>111</v>
      </c>
      <c r="C59" s="90"/>
      <c r="D59" s="87"/>
      <c r="E59" s="86"/>
      <c r="F59" s="88">
        <v>85000</v>
      </c>
    </row>
    <row r="60" spans="1:6">
      <c r="A60" s="86"/>
      <c r="B60" s="87" t="s">
        <v>155</v>
      </c>
      <c r="C60" s="90"/>
      <c r="D60" s="87"/>
      <c r="E60" s="86"/>
      <c r="F60" s="86"/>
    </row>
    <row r="61" spans="1:6">
      <c r="A61" s="86" t="s">
        <v>156</v>
      </c>
      <c r="B61" s="87" t="s">
        <v>107</v>
      </c>
      <c r="C61" s="90" t="s">
        <v>100</v>
      </c>
      <c r="D61" s="87"/>
      <c r="E61" s="88">
        <v>120000</v>
      </c>
      <c r="F61" s="86"/>
    </row>
    <row r="62" spans="1:6">
      <c r="A62" s="86"/>
      <c r="B62" s="87" t="s">
        <v>119</v>
      </c>
      <c r="C62" s="90"/>
      <c r="D62" s="87"/>
      <c r="E62" s="86"/>
      <c r="F62" s="88">
        <v>120000</v>
      </c>
    </row>
    <row r="63" spans="1:6">
      <c r="A63" s="86"/>
      <c r="B63" s="87" t="s">
        <v>157</v>
      </c>
      <c r="C63" s="90"/>
      <c r="D63" s="87"/>
      <c r="E63" s="86"/>
      <c r="F63" s="86"/>
    </row>
    <row r="64" spans="1:6">
      <c r="A64" s="86" t="s">
        <v>158</v>
      </c>
      <c r="B64" s="87" t="s">
        <v>101</v>
      </c>
      <c r="C64" s="90" t="s">
        <v>100</v>
      </c>
      <c r="D64" s="87"/>
      <c r="E64" s="88">
        <v>110000</v>
      </c>
      <c r="F64" s="86"/>
    </row>
    <row r="65" spans="1:6">
      <c r="A65" s="86"/>
      <c r="B65" s="87" t="s">
        <v>159</v>
      </c>
      <c r="C65" s="90"/>
      <c r="D65" s="87"/>
      <c r="E65" s="86"/>
      <c r="F65" s="88">
        <v>110000</v>
      </c>
    </row>
    <row r="66" spans="1:6">
      <c r="A66" s="86"/>
      <c r="B66" s="87" t="s">
        <v>160</v>
      </c>
      <c r="C66" s="90"/>
      <c r="D66" s="87"/>
      <c r="E66" s="86"/>
      <c r="F66" s="86"/>
    </row>
    <row r="67" spans="1:6">
      <c r="A67" s="86" t="s">
        <v>161</v>
      </c>
      <c r="B67" s="87" t="s">
        <v>162</v>
      </c>
      <c r="C67" s="90" t="s">
        <v>100</v>
      </c>
      <c r="D67" s="87"/>
      <c r="E67" s="88">
        <v>5500</v>
      </c>
      <c r="F67" s="86"/>
    </row>
    <row r="68" spans="1:6">
      <c r="A68" s="86"/>
      <c r="B68" s="87" t="s">
        <v>117</v>
      </c>
      <c r="C68" s="90"/>
      <c r="D68" s="87"/>
      <c r="E68" s="86"/>
      <c r="F68" s="88">
        <v>5500</v>
      </c>
    </row>
    <row r="69" spans="1:6">
      <c r="A69" s="86"/>
      <c r="B69" s="87" t="s">
        <v>125</v>
      </c>
      <c r="C69" s="90"/>
      <c r="D69" s="87"/>
      <c r="E69" s="86"/>
      <c r="F69" s="86"/>
    </row>
    <row r="70" spans="1:6">
      <c r="A70" s="86" t="s">
        <v>163</v>
      </c>
      <c r="B70" s="87" t="s">
        <v>99</v>
      </c>
      <c r="C70" s="90" t="s">
        <v>100</v>
      </c>
      <c r="D70" s="87"/>
      <c r="E70" s="88">
        <v>9000</v>
      </c>
      <c r="F70" s="86"/>
    </row>
    <row r="71" spans="1:6">
      <c r="A71" s="86"/>
      <c r="B71" s="87" t="s">
        <v>164</v>
      </c>
      <c r="C71" s="90"/>
      <c r="D71" s="87"/>
      <c r="E71" s="86"/>
      <c r="F71" s="88">
        <v>9000</v>
      </c>
    </row>
    <row r="72" spans="1:6">
      <c r="A72" s="86"/>
      <c r="B72" s="87" t="s">
        <v>165</v>
      </c>
      <c r="C72" s="90"/>
      <c r="D72" s="87"/>
      <c r="E72" s="86"/>
      <c r="F72" s="86"/>
    </row>
    <row r="73" spans="1:6">
      <c r="A73" s="86" t="s">
        <v>166</v>
      </c>
      <c r="B73" s="87" t="s">
        <v>99</v>
      </c>
      <c r="C73" s="90" t="s">
        <v>100</v>
      </c>
      <c r="D73" s="87"/>
      <c r="E73" s="88">
        <v>20000</v>
      </c>
      <c r="F73" s="86"/>
    </row>
    <row r="74" spans="1:6">
      <c r="A74" s="86"/>
      <c r="B74" s="87" t="s">
        <v>139</v>
      </c>
      <c r="C74" s="90"/>
      <c r="D74" s="87"/>
      <c r="E74" s="86"/>
      <c r="F74" s="88">
        <v>20000</v>
      </c>
    </row>
    <row r="75" spans="1:6">
      <c r="A75" s="86"/>
      <c r="B75" s="87" t="s">
        <v>167</v>
      </c>
      <c r="C75" s="90"/>
      <c r="D75" s="87"/>
      <c r="E75" s="86"/>
      <c r="F75" s="86"/>
    </row>
    <row r="76" spans="1:6">
      <c r="A76" s="86" t="s">
        <v>168</v>
      </c>
      <c r="B76" s="87" t="s">
        <v>169</v>
      </c>
      <c r="C76" s="90" t="s">
        <v>100</v>
      </c>
      <c r="D76" s="87"/>
      <c r="E76" s="88">
        <v>12000</v>
      </c>
      <c r="F76" s="86"/>
    </row>
    <row r="77" spans="1:6">
      <c r="A77" s="86"/>
      <c r="B77" s="87" t="s">
        <v>117</v>
      </c>
      <c r="C77" s="90"/>
      <c r="D77" s="87"/>
      <c r="E77" s="86"/>
      <c r="F77" s="88">
        <v>12000</v>
      </c>
    </row>
    <row r="78" spans="1:6">
      <c r="A78" s="86"/>
      <c r="B78" s="87" t="s">
        <v>170</v>
      </c>
      <c r="C78" s="90"/>
      <c r="D78" s="87"/>
      <c r="E78" s="86"/>
      <c r="F78" s="86"/>
    </row>
    <row r="79" spans="1:6">
      <c r="A79" s="86" t="s">
        <v>171</v>
      </c>
      <c r="B79" s="87" t="s">
        <v>172</v>
      </c>
      <c r="C79" s="90" t="s">
        <v>100</v>
      </c>
      <c r="D79" s="87"/>
      <c r="E79" s="88">
        <v>6000</v>
      </c>
      <c r="F79" s="86"/>
    </row>
    <row r="80" spans="1:6">
      <c r="A80" s="86"/>
      <c r="B80" s="87" t="s">
        <v>173</v>
      </c>
      <c r="C80" s="90"/>
      <c r="D80" s="87"/>
      <c r="E80" s="86"/>
      <c r="F80" s="88">
        <v>6000</v>
      </c>
    </row>
    <row r="81" spans="1:6">
      <c r="A81" s="86"/>
      <c r="B81" s="87" t="s">
        <v>174</v>
      </c>
      <c r="C81" s="90"/>
      <c r="D81" s="87"/>
      <c r="E81" s="86"/>
      <c r="F81" s="86"/>
    </row>
    <row r="82" spans="1:6">
      <c r="A82" s="86" t="s">
        <v>175</v>
      </c>
      <c r="B82" s="87" t="s">
        <v>176</v>
      </c>
      <c r="C82" s="90" t="s">
        <v>100</v>
      </c>
      <c r="D82" s="87"/>
      <c r="E82" s="88">
        <v>4000</v>
      </c>
      <c r="F82" s="86"/>
    </row>
    <row r="83" spans="1:6">
      <c r="A83" s="86"/>
      <c r="B83" s="87" t="s">
        <v>117</v>
      </c>
      <c r="C83" s="90"/>
      <c r="D83" s="87"/>
      <c r="E83" s="86"/>
      <c r="F83" s="88">
        <v>4000</v>
      </c>
    </row>
    <row r="84" spans="1:6">
      <c r="A84" s="86"/>
      <c r="B84" s="87" t="s">
        <v>177</v>
      </c>
      <c r="C84" s="90"/>
      <c r="D84" s="87"/>
      <c r="E84" s="86"/>
      <c r="F84" s="86"/>
    </row>
    <row r="85" spans="1:6">
      <c r="A85" s="86" t="s">
        <v>178</v>
      </c>
      <c r="B85" s="87" t="s">
        <v>101</v>
      </c>
      <c r="C85" s="90" t="s">
        <v>100</v>
      </c>
      <c r="D85" s="87"/>
      <c r="E85" s="88">
        <v>3000</v>
      </c>
      <c r="F85" s="86"/>
    </row>
    <row r="86" spans="1:6">
      <c r="A86" s="86"/>
      <c r="B86" s="87" t="s">
        <v>179</v>
      </c>
      <c r="C86" s="90"/>
      <c r="D86" s="87"/>
      <c r="E86" s="86"/>
      <c r="F86" s="88">
        <v>3000</v>
      </c>
    </row>
    <row r="87" spans="1:6">
      <c r="A87" s="86"/>
      <c r="B87" s="87" t="s">
        <v>180</v>
      </c>
      <c r="C87" s="90"/>
      <c r="D87" s="87"/>
      <c r="E87" s="86"/>
      <c r="F87" s="86"/>
    </row>
    <row r="88" spans="1:6">
      <c r="A88" s="86" t="s">
        <v>181</v>
      </c>
      <c r="B88" s="87" t="s">
        <v>114</v>
      </c>
      <c r="C88" s="90" t="s">
        <v>100</v>
      </c>
      <c r="D88" s="87"/>
      <c r="E88" s="88">
        <v>30000</v>
      </c>
      <c r="F88" s="86"/>
    </row>
    <row r="89" spans="1:6">
      <c r="A89" s="86"/>
      <c r="B89" s="87" t="s">
        <v>117</v>
      </c>
      <c r="C89" s="90"/>
      <c r="D89" s="87"/>
      <c r="E89" s="86"/>
      <c r="F89" s="88">
        <v>30000</v>
      </c>
    </row>
    <row r="90" spans="1:6">
      <c r="A90" s="86"/>
      <c r="B90" s="87" t="s">
        <v>182</v>
      </c>
      <c r="C90" s="90"/>
      <c r="D90" s="87"/>
      <c r="E90" s="86"/>
      <c r="F90" s="86"/>
    </row>
    <row r="91" spans="1:6">
      <c r="A91" s="86" t="s">
        <v>183</v>
      </c>
      <c r="B91" s="87" t="s">
        <v>184</v>
      </c>
      <c r="C91" s="90" t="s">
        <v>100</v>
      </c>
      <c r="D91" s="87"/>
      <c r="E91" s="88">
        <v>8500</v>
      </c>
      <c r="F91" s="86"/>
    </row>
    <row r="92" spans="1:6">
      <c r="A92" s="86"/>
      <c r="B92" s="87" t="s">
        <v>117</v>
      </c>
      <c r="C92" s="90"/>
      <c r="D92" s="87"/>
      <c r="E92" s="86"/>
      <c r="F92" s="88">
        <v>8500</v>
      </c>
    </row>
    <row r="93" spans="1:6">
      <c r="A93" s="86"/>
      <c r="B93" s="87" t="s">
        <v>185</v>
      </c>
      <c r="C93" s="90"/>
      <c r="D93" s="87"/>
      <c r="E93" s="86"/>
      <c r="F93" s="86"/>
    </row>
    <row r="94" spans="1:6">
      <c r="A94" s="86" t="s">
        <v>186</v>
      </c>
      <c r="B94" s="87" t="s">
        <v>187</v>
      </c>
      <c r="C94" s="90" t="s">
        <v>100</v>
      </c>
      <c r="D94" s="87"/>
      <c r="E94" s="88">
        <v>2500</v>
      </c>
      <c r="F94" s="86"/>
    </row>
    <row r="95" spans="1:6">
      <c r="A95" s="86"/>
      <c r="B95" s="87" t="s">
        <v>117</v>
      </c>
      <c r="C95" s="90"/>
      <c r="D95" s="87"/>
      <c r="E95" s="86"/>
      <c r="F95" s="88">
        <v>2500</v>
      </c>
    </row>
    <row r="96" spans="1:6">
      <c r="A96" s="86"/>
      <c r="B96" s="87" t="s">
        <v>188</v>
      </c>
      <c r="C96" s="90"/>
      <c r="D96" s="87"/>
      <c r="E96" s="86"/>
      <c r="F96" s="86"/>
    </row>
    <row r="97" spans="1:6">
      <c r="A97" s="86" t="s">
        <v>189</v>
      </c>
      <c r="B97" s="87" t="s">
        <v>103</v>
      </c>
      <c r="C97" s="90" t="s">
        <v>100</v>
      </c>
      <c r="D97" s="87"/>
      <c r="E97" s="88">
        <v>25000</v>
      </c>
      <c r="F97" s="86"/>
    </row>
    <row r="98" spans="1:6">
      <c r="A98" s="86"/>
      <c r="B98" s="87" t="s">
        <v>117</v>
      </c>
      <c r="C98" s="90"/>
      <c r="D98" s="87"/>
      <c r="E98" s="86"/>
      <c r="F98" s="88">
        <v>25000</v>
      </c>
    </row>
    <row r="99" spans="1:6">
      <c r="A99" s="86"/>
      <c r="B99" s="87" t="s">
        <v>125</v>
      </c>
      <c r="C99" s="90"/>
      <c r="D99" s="87"/>
      <c r="E99" s="86"/>
      <c r="F99" s="86"/>
    </row>
    <row r="100" spans="1:6">
      <c r="A100" s="86" t="s">
        <v>190</v>
      </c>
      <c r="B100" s="87" t="s">
        <v>191</v>
      </c>
      <c r="C100" s="90" t="s">
        <v>100</v>
      </c>
      <c r="D100" s="87"/>
      <c r="E100" s="88">
        <v>5000</v>
      </c>
      <c r="F100" s="86"/>
    </row>
    <row r="101" spans="1:6">
      <c r="A101" s="86"/>
      <c r="B101" s="87" t="s">
        <v>139</v>
      </c>
      <c r="C101" s="90"/>
      <c r="D101" s="87"/>
      <c r="E101" s="86"/>
      <c r="F101" s="88">
        <v>5000</v>
      </c>
    </row>
    <row r="102" spans="1:6">
      <c r="A102" s="86"/>
      <c r="B102" s="87" t="s">
        <v>192</v>
      </c>
      <c r="C102" s="90"/>
      <c r="D102" s="87"/>
      <c r="E102" s="86"/>
      <c r="F102" s="86"/>
    </row>
    <row r="103" spans="1:6">
      <c r="A103" s="86" t="s">
        <v>193</v>
      </c>
      <c r="B103" s="87" t="s">
        <v>101</v>
      </c>
      <c r="C103" s="90" t="s">
        <v>100</v>
      </c>
      <c r="D103" s="87"/>
      <c r="E103" s="88">
        <v>40000</v>
      </c>
      <c r="F103" s="86"/>
    </row>
    <row r="104" spans="1:6">
      <c r="A104" s="86"/>
      <c r="B104" s="87" t="s">
        <v>117</v>
      </c>
      <c r="C104" s="90"/>
      <c r="D104" s="87"/>
      <c r="E104" s="86"/>
      <c r="F104" s="88">
        <v>40000</v>
      </c>
    </row>
    <row r="105" spans="1:6">
      <c r="A105" s="86"/>
      <c r="B105" s="87" t="s">
        <v>194</v>
      </c>
      <c r="C105" s="90"/>
      <c r="D105" s="87"/>
      <c r="E105" s="86"/>
      <c r="F105" s="86"/>
    </row>
  </sheetData>
  <mergeCells count="1">
    <mergeCell ref="A1:F1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2"/>
  <sheetViews>
    <sheetView workbookViewId="0">
      <selection activeCell="A1" sqref="A1:J1"/>
    </sheetView>
  </sheetViews>
  <sheetFormatPr defaultColWidth="9" defaultRowHeight="15"/>
  <cols>
    <col min="1" max="1" width="13.1428571428571" customWidth="1"/>
    <col min="2" max="2" width="33.2857142857143" customWidth="1"/>
    <col min="3" max="3" width="7.71428571428571" customWidth="1"/>
    <col min="4" max="4" width="13.4285714285714" customWidth="1"/>
    <col min="5" max="5" width="15.7142857142857" customWidth="1"/>
    <col min="6" max="6" width="13.1428571428571" customWidth="1"/>
    <col min="7" max="7" width="28.5714285714286" customWidth="1"/>
    <col min="8" max="8" width="18.8571428571429" customWidth="1"/>
    <col min="9" max="9" width="17.7142857142857" customWidth="1"/>
    <col min="10" max="10" width="20.5714285714286" customWidth="1"/>
  </cols>
  <sheetData>
    <row r="1" ht="18.75" spans="1:10">
      <c r="A1" s="83" t="s">
        <v>195</v>
      </c>
      <c r="B1" s="83"/>
      <c r="C1" s="83"/>
      <c r="D1" s="83"/>
      <c r="E1" s="83"/>
      <c r="F1" s="83"/>
      <c r="G1" s="83"/>
      <c r="H1" s="83"/>
      <c r="I1" s="83"/>
      <c r="J1" s="83"/>
    </row>
    <row r="2" spans="1:10">
      <c r="A2" s="50"/>
      <c r="B2" s="51"/>
      <c r="C2" s="51"/>
      <c r="D2" s="51"/>
      <c r="E2" s="50"/>
      <c r="F2" s="50"/>
      <c r="G2" s="51"/>
      <c r="H2" s="51"/>
      <c r="I2" s="51"/>
      <c r="J2" s="50"/>
    </row>
    <row r="3" spans="1:10">
      <c r="A3" s="49" t="s">
        <v>100</v>
      </c>
      <c r="B3" s="51"/>
      <c r="C3" s="51"/>
      <c r="D3" s="51"/>
      <c r="E3" s="91" t="s">
        <v>196</v>
      </c>
      <c r="F3" s="91"/>
      <c r="G3" s="51"/>
      <c r="H3" s="51"/>
      <c r="I3" s="51"/>
      <c r="J3" s="52" t="s">
        <v>197</v>
      </c>
    </row>
    <row r="4" spans="1:10">
      <c r="A4" s="53" t="s">
        <v>94</v>
      </c>
      <c r="B4" s="53" t="s">
        <v>9</v>
      </c>
      <c r="C4" s="53" t="s">
        <v>198</v>
      </c>
      <c r="D4" s="53" t="s">
        <v>97</v>
      </c>
      <c r="E4" s="53" t="s">
        <v>97</v>
      </c>
      <c r="F4" s="53" t="s">
        <v>94</v>
      </c>
      <c r="G4" s="53" t="s">
        <v>9</v>
      </c>
      <c r="H4" s="53" t="s">
        <v>198</v>
      </c>
      <c r="I4" s="53" t="s">
        <v>97</v>
      </c>
      <c r="J4" s="53" t="s">
        <v>97</v>
      </c>
    </row>
    <row r="5" spans="1:10">
      <c r="A5" s="86" t="s">
        <v>98</v>
      </c>
      <c r="B5" s="87" t="s">
        <v>109</v>
      </c>
      <c r="C5" s="87"/>
      <c r="D5" s="87"/>
      <c r="E5" s="88">
        <v>100000</v>
      </c>
      <c r="F5" s="86" t="s">
        <v>98</v>
      </c>
      <c r="G5" s="87" t="s">
        <v>199</v>
      </c>
      <c r="H5" s="87"/>
      <c r="I5" s="87"/>
      <c r="J5" s="92">
        <v>45000</v>
      </c>
    </row>
    <row r="6" spans="1:10">
      <c r="A6" s="86" t="s">
        <v>98</v>
      </c>
      <c r="B6" s="87" t="s">
        <v>110</v>
      </c>
      <c r="C6" s="87"/>
      <c r="D6" s="87"/>
      <c r="E6" s="88">
        <v>80000</v>
      </c>
      <c r="F6" s="86" t="s">
        <v>98</v>
      </c>
      <c r="G6" s="87" t="s">
        <v>200</v>
      </c>
      <c r="H6" s="87"/>
      <c r="I6" s="87"/>
      <c r="J6" s="92">
        <v>120000</v>
      </c>
    </row>
    <row r="7" spans="1:10">
      <c r="A7" s="86" t="s">
        <v>98</v>
      </c>
      <c r="B7" s="87" t="s">
        <v>111</v>
      </c>
      <c r="C7" s="87"/>
      <c r="D7" s="87"/>
      <c r="E7" s="88">
        <v>40000</v>
      </c>
      <c r="F7" s="86" t="s">
        <v>98</v>
      </c>
      <c r="G7" s="87" t="s">
        <v>201</v>
      </c>
      <c r="H7" s="87"/>
      <c r="I7" s="87"/>
      <c r="J7" s="92">
        <v>90000</v>
      </c>
    </row>
    <row r="8" spans="1:10">
      <c r="A8" s="86" t="s">
        <v>202</v>
      </c>
      <c r="B8" s="87" t="s">
        <v>203</v>
      </c>
      <c r="C8" s="87"/>
      <c r="D8" s="87"/>
      <c r="E8" s="88">
        <v>450000</v>
      </c>
      <c r="F8" s="86" t="s">
        <v>98</v>
      </c>
      <c r="G8" s="87" t="s">
        <v>204</v>
      </c>
      <c r="H8" s="87"/>
      <c r="I8" s="87"/>
      <c r="J8" s="92">
        <v>60000</v>
      </c>
    </row>
    <row r="9" spans="1:10">
      <c r="A9" s="86"/>
      <c r="B9" s="87"/>
      <c r="C9" s="87"/>
      <c r="D9" s="87"/>
      <c r="E9" s="86"/>
      <c r="F9" s="86" t="s">
        <v>98</v>
      </c>
      <c r="G9" s="87" t="s">
        <v>205</v>
      </c>
      <c r="H9" s="87"/>
      <c r="I9" s="87"/>
      <c r="J9" s="92">
        <v>200000</v>
      </c>
    </row>
    <row r="10" spans="1:10">
      <c r="A10" s="86"/>
      <c r="B10" s="87"/>
      <c r="C10" s="87"/>
      <c r="D10" s="87"/>
      <c r="E10" s="86"/>
      <c r="F10" s="86" t="s">
        <v>98</v>
      </c>
      <c r="G10" s="87" t="s">
        <v>206</v>
      </c>
      <c r="H10" s="87"/>
      <c r="I10" s="87"/>
      <c r="J10" s="92">
        <v>40000</v>
      </c>
    </row>
    <row r="11" spans="1:10">
      <c r="A11" s="86"/>
      <c r="B11" s="87"/>
      <c r="C11" s="87"/>
      <c r="D11" s="87"/>
      <c r="E11" s="86"/>
      <c r="F11" s="86" t="s">
        <v>98</v>
      </c>
      <c r="G11" s="87" t="s">
        <v>207</v>
      </c>
      <c r="H11" s="87"/>
      <c r="I11" s="87"/>
      <c r="J11" s="92">
        <v>70000</v>
      </c>
    </row>
    <row r="12" spans="1:10">
      <c r="A12" s="86"/>
      <c r="B12" s="87"/>
      <c r="C12" s="87"/>
      <c r="D12" s="87"/>
      <c r="E12" s="88"/>
      <c r="F12" s="86" t="s">
        <v>98</v>
      </c>
      <c r="G12" s="87" t="s">
        <v>208</v>
      </c>
      <c r="H12" s="87"/>
      <c r="I12" s="87"/>
      <c r="J12" s="92">
        <v>45000</v>
      </c>
    </row>
    <row r="13" spans="1:10">
      <c r="A13" s="86"/>
      <c r="B13" s="87"/>
      <c r="C13" s="87"/>
      <c r="D13" s="87"/>
      <c r="E13" s="66">
        <f>J13</f>
        <v>670000</v>
      </c>
      <c r="F13" s="86"/>
      <c r="G13" s="87"/>
      <c r="H13" s="87"/>
      <c r="I13" s="87"/>
      <c r="J13" s="66">
        <f>SUM(J5:J12)</f>
        <v>670000</v>
      </c>
    </row>
    <row r="14" spans="1:10">
      <c r="A14" s="86"/>
      <c r="B14" s="87"/>
      <c r="C14" s="87"/>
      <c r="D14" s="87"/>
      <c r="E14" s="86"/>
      <c r="F14" s="86" t="s">
        <v>209</v>
      </c>
      <c r="G14" s="87" t="s">
        <v>210</v>
      </c>
      <c r="H14" s="87"/>
      <c r="I14" s="87"/>
      <c r="J14" s="88">
        <v>450000</v>
      </c>
    </row>
    <row r="15" spans="1:10">
      <c r="A15" s="50"/>
      <c r="B15" s="51"/>
      <c r="C15" s="51"/>
      <c r="D15" s="51"/>
      <c r="E15" s="50"/>
      <c r="F15" s="50"/>
      <c r="G15" s="51"/>
      <c r="H15" s="51"/>
      <c r="I15" s="51"/>
      <c r="J15" s="50"/>
    </row>
    <row r="16" spans="1:10">
      <c r="A16" s="49" t="s">
        <v>100</v>
      </c>
      <c r="B16" s="51"/>
      <c r="C16" s="51"/>
      <c r="D16" s="51"/>
      <c r="E16" s="91" t="s">
        <v>99</v>
      </c>
      <c r="F16" s="91"/>
      <c r="G16" s="51"/>
      <c r="H16" s="51"/>
      <c r="I16" s="51"/>
      <c r="J16" s="52" t="s">
        <v>197</v>
      </c>
    </row>
    <row r="17" spans="1:10">
      <c r="A17" s="53" t="s">
        <v>94</v>
      </c>
      <c r="B17" s="53" t="s">
        <v>9</v>
      </c>
      <c r="C17" s="53" t="s">
        <v>198</v>
      </c>
      <c r="D17" s="53" t="s">
        <v>97</v>
      </c>
      <c r="E17" s="53" t="s">
        <v>97</v>
      </c>
      <c r="F17" s="53" t="s">
        <v>94</v>
      </c>
      <c r="G17" s="53" t="s">
        <v>9</v>
      </c>
      <c r="H17" s="53" t="s">
        <v>198</v>
      </c>
      <c r="I17" s="53" t="s">
        <v>97</v>
      </c>
      <c r="J17" s="53" t="s">
        <v>97</v>
      </c>
    </row>
    <row r="18" spans="1:10">
      <c r="A18" s="86" t="s">
        <v>98</v>
      </c>
      <c r="B18" s="87" t="s">
        <v>211</v>
      </c>
      <c r="C18" s="87"/>
      <c r="D18" s="87"/>
      <c r="E18" s="88">
        <v>45000</v>
      </c>
      <c r="F18" s="86" t="s">
        <v>116</v>
      </c>
      <c r="G18" s="87" t="s">
        <v>212</v>
      </c>
      <c r="H18" s="87"/>
      <c r="I18" s="87"/>
      <c r="J18" s="88">
        <v>35000</v>
      </c>
    </row>
    <row r="19" spans="1:10">
      <c r="A19" s="86" t="s">
        <v>121</v>
      </c>
      <c r="B19" s="87" t="s">
        <v>119</v>
      </c>
      <c r="C19" s="87"/>
      <c r="D19" s="87"/>
      <c r="E19" s="88">
        <v>75000</v>
      </c>
      <c r="F19" s="86" t="s">
        <v>123</v>
      </c>
      <c r="G19" s="87" t="s">
        <v>213</v>
      </c>
      <c r="H19" s="87"/>
      <c r="I19" s="87"/>
      <c r="J19" s="88">
        <v>4500</v>
      </c>
    </row>
    <row r="20" spans="1:10">
      <c r="A20" s="86" t="s">
        <v>144</v>
      </c>
      <c r="B20" s="87" t="s">
        <v>135</v>
      </c>
      <c r="C20" s="87"/>
      <c r="D20" s="87"/>
      <c r="E20" s="88">
        <v>210000</v>
      </c>
      <c r="F20" s="86" t="s">
        <v>126</v>
      </c>
      <c r="G20" s="87" t="s">
        <v>214</v>
      </c>
      <c r="H20" s="87"/>
      <c r="I20" s="87"/>
      <c r="J20" s="88">
        <v>15000</v>
      </c>
    </row>
    <row r="21" spans="1:10">
      <c r="A21" s="86" t="s">
        <v>163</v>
      </c>
      <c r="B21" s="87" t="s">
        <v>164</v>
      </c>
      <c r="C21" s="87"/>
      <c r="D21" s="87"/>
      <c r="E21" s="88">
        <v>9000</v>
      </c>
      <c r="F21" s="86" t="s">
        <v>141</v>
      </c>
      <c r="G21" s="87" t="s">
        <v>215</v>
      </c>
      <c r="H21" s="87"/>
      <c r="I21" s="87"/>
      <c r="J21" s="88">
        <v>22000</v>
      </c>
    </row>
    <row r="22" spans="1:10">
      <c r="A22" s="86" t="s">
        <v>166</v>
      </c>
      <c r="B22" s="87" t="s">
        <v>139</v>
      </c>
      <c r="C22" s="87"/>
      <c r="D22" s="87"/>
      <c r="E22" s="88">
        <v>20000</v>
      </c>
      <c r="F22" s="86" t="s">
        <v>151</v>
      </c>
      <c r="G22" s="87" t="s">
        <v>216</v>
      </c>
      <c r="H22" s="87"/>
      <c r="I22" s="87"/>
      <c r="J22" s="88">
        <v>18000</v>
      </c>
    </row>
    <row r="23" spans="1:10">
      <c r="A23" s="86"/>
      <c r="B23" s="87"/>
      <c r="C23" s="87"/>
      <c r="D23" s="87"/>
      <c r="E23" s="86"/>
      <c r="F23" s="86" t="s">
        <v>161</v>
      </c>
      <c r="G23" s="87" t="s">
        <v>217</v>
      </c>
      <c r="H23" s="87"/>
      <c r="I23" s="87"/>
      <c r="J23" s="88">
        <v>5500</v>
      </c>
    </row>
    <row r="24" spans="1:10">
      <c r="A24" s="86"/>
      <c r="B24" s="87"/>
      <c r="C24" s="87"/>
      <c r="D24" s="87"/>
      <c r="E24" s="86"/>
      <c r="F24" s="86" t="s">
        <v>168</v>
      </c>
      <c r="G24" s="87" t="s">
        <v>218</v>
      </c>
      <c r="H24" s="87"/>
      <c r="I24" s="87"/>
      <c r="J24" s="88">
        <v>12000</v>
      </c>
    </row>
    <row r="25" spans="1:10">
      <c r="A25" s="86"/>
      <c r="B25" s="87"/>
      <c r="C25" s="87"/>
      <c r="D25" s="87"/>
      <c r="E25" s="86"/>
      <c r="F25" s="86" t="s">
        <v>175</v>
      </c>
      <c r="G25" s="87" t="s">
        <v>219</v>
      </c>
      <c r="H25" s="87"/>
      <c r="I25" s="87"/>
      <c r="J25" s="88">
        <v>4000</v>
      </c>
    </row>
    <row r="26" spans="1:10">
      <c r="A26" s="86"/>
      <c r="B26" s="87"/>
      <c r="C26" s="87"/>
      <c r="D26" s="87"/>
      <c r="E26" s="86"/>
      <c r="F26" s="86" t="s">
        <v>181</v>
      </c>
      <c r="G26" s="87" t="s">
        <v>212</v>
      </c>
      <c r="H26" s="87"/>
      <c r="I26" s="87"/>
      <c r="J26" s="88">
        <v>30000</v>
      </c>
    </row>
    <row r="27" spans="1:10">
      <c r="A27" s="86"/>
      <c r="B27" s="87"/>
      <c r="C27" s="87"/>
      <c r="D27" s="87"/>
      <c r="E27" s="86"/>
      <c r="F27" s="86" t="s">
        <v>183</v>
      </c>
      <c r="G27" s="87" t="s">
        <v>220</v>
      </c>
      <c r="H27" s="87"/>
      <c r="I27" s="87"/>
      <c r="J27" s="88">
        <v>8500</v>
      </c>
    </row>
    <row r="28" spans="1:10">
      <c r="A28" s="86"/>
      <c r="B28" s="87"/>
      <c r="C28" s="87"/>
      <c r="D28" s="87"/>
      <c r="E28" s="86"/>
      <c r="F28" s="86" t="s">
        <v>186</v>
      </c>
      <c r="G28" s="87" t="s">
        <v>221</v>
      </c>
      <c r="H28" s="87"/>
      <c r="I28" s="87"/>
      <c r="J28" s="88">
        <v>2500</v>
      </c>
    </row>
    <row r="29" spans="1:10">
      <c r="A29" s="86"/>
      <c r="B29" s="87"/>
      <c r="C29" s="87"/>
      <c r="D29" s="87"/>
      <c r="E29" s="86"/>
      <c r="F29" s="86" t="s">
        <v>189</v>
      </c>
      <c r="G29" s="87" t="s">
        <v>204</v>
      </c>
      <c r="H29" s="87"/>
      <c r="I29" s="87"/>
      <c r="J29" s="88">
        <v>25000</v>
      </c>
    </row>
    <row r="30" spans="1:10">
      <c r="A30" s="86"/>
      <c r="B30" s="87"/>
      <c r="C30" s="87"/>
      <c r="D30" s="87"/>
      <c r="E30" s="86"/>
      <c r="F30" s="86" t="s">
        <v>193</v>
      </c>
      <c r="G30" s="87" t="s">
        <v>200</v>
      </c>
      <c r="H30" s="87"/>
      <c r="I30" s="87"/>
      <c r="J30" s="88">
        <v>40000</v>
      </c>
    </row>
    <row r="31" spans="1:10">
      <c r="A31" s="86"/>
      <c r="B31" s="87"/>
      <c r="C31" s="87"/>
      <c r="D31" s="87"/>
      <c r="E31" s="86"/>
      <c r="F31" s="86" t="s">
        <v>202</v>
      </c>
      <c r="G31" s="87" t="s">
        <v>222</v>
      </c>
      <c r="H31" s="87"/>
      <c r="I31" s="87"/>
      <c r="J31" s="88">
        <v>137000</v>
      </c>
    </row>
    <row r="32" spans="1:10">
      <c r="A32" s="86"/>
      <c r="B32" s="87"/>
      <c r="C32" s="87"/>
      <c r="D32" s="87"/>
      <c r="E32" s="66">
        <f>SUM(E18:E22)</f>
        <v>359000</v>
      </c>
      <c r="F32" s="86"/>
      <c r="G32" s="87"/>
      <c r="H32" s="87"/>
      <c r="I32" s="87"/>
      <c r="J32" s="66">
        <f>E32</f>
        <v>359000</v>
      </c>
    </row>
    <row r="33" spans="1:10">
      <c r="A33" s="86" t="s">
        <v>209</v>
      </c>
      <c r="B33" s="87" t="s">
        <v>211</v>
      </c>
      <c r="C33" s="87"/>
      <c r="D33" s="87"/>
      <c r="E33" s="88">
        <v>137000</v>
      </c>
      <c r="F33" s="86"/>
      <c r="G33" s="87"/>
      <c r="H33" s="87"/>
      <c r="I33" s="66"/>
      <c r="J33" s="86"/>
    </row>
    <row r="34" spans="1:10">
      <c r="A34" s="50"/>
      <c r="B34" s="51"/>
      <c r="C34" s="51"/>
      <c r="D34" s="51"/>
      <c r="E34" s="50"/>
      <c r="F34" s="50"/>
      <c r="G34" s="51"/>
      <c r="H34" s="51"/>
      <c r="I34" s="51"/>
      <c r="J34" s="50"/>
    </row>
    <row r="35" spans="1:10">
      <c r="A35" s="49" t="s">
        <v>100</v>
      </c>
      <c r="B35" s="51"/>
      <c r="C35" s="51"/>
      <c r="D35" s="51"/>
      <c r="E35" s="91" t="s">
        <v>223</v>
      </c>
      <c r="F35" s="91"/>
      <c r="G35" s="51"/>
      <c r="H35" s="51"/>
      <c r="I35" s="51"/>
      <c r="J35" s="52" t="s">
        <v>197</v>
      </c>
    </row>
    <row r="36" spans="1:10">
      <c r="A36" s="53" t="s">
        <v>94</v>
      </c>
      <c r="B36" s="53" t="s">
        <v>9</v>
      </c>
      <c r="C36" s="53" t="s">
        <v>198</v>
      </c>
      <c r="D36" s="53" t="s">
        <v>97</v>
      </c>
      <c r="E36" s="53" t="s">
        <v>97</v>
      </c>
      <c r="F36" s="53" t="s">
        <v>94</v>
      </c>
      <c r="G36" s="53" t="s">
        <v>9</v>
      </c>
      <c r="H36" s="53" t="s">
        <v>198</v>
      </c>
      <c r="I36" s="53" t="s">
        <v>97</v>
      </c>
      <c r="J36" s="53" t="s">
        <v>97</v>
      </c>
    </row>
    <row r="37" spans="1:10">
      <c r="A37" s="86" t="s">
        <v>98</v>
      </c>
      <c r="B37" s="87" t="s">
        <v>211</v>
      </c>
      <c r="C37" s="87"/>
      <c r="D37" s="87"/>
      <c r="E37" s="88">
        <v>120000</v>
      </c>
      <c r="F37" s="86" t="s">
        <v>137</v>
      </c>
      <c r="G37" s="87" t="s">
        <v>224</v>
      </c>
      <c r="H37" s="87"/>
      <c r="I37" s="87"/>
      <c r="J37" s="88">
        <v>50000</v>
      </c>
    </row>
    <row r="38" spans="1:10">
      <c r="A38" s="86" t="s">
        <v>158</v>
      </c>
      <c r="B38" s="87" t="s">
        <v>159</v>
      </c>
      <c r="C38" s="87"/>
      <c r="D38" s="87"/>
      <c r="E38" s="88">
        <v>110000</v>
      </c>
      <c r="F38" s="86" t="s">
        <v>148</v>
      </c>
      <c r="G38" s="87" t="s">
        <v>225</v>
      </c>
      <c r="H38" s="87"/>
      <c r="I38" s="87"/>
      <c r="J38" s="88">
        <v>150000</v>
      </c>
    </row>
    <row r="39" spans="1:10">
      <c r="A39" s="86" t="s">
        <v>178</v>
      </c>
      <c r="B39" s="87" t="s">
        <v>179</v>
      </c>
      <c r="C39" s="87"/>
      <c r="D39" s="87"/>
      <c r="E39" s="88">
        <v>3000</v>
      </c>
      <c r="F39" s="86" t="s">
        <v>166</v>
      </c>
      <c r="G39" s="87" t="s">
        <v>199</v>
      </c>
      <c r="H39" s="87"/>
      <c r="I39" s="87"/>
      <c r="J39" s="88">
        <v>20000</v>
      </c>
    </row>
    <row r="40" spans="1:10">
      <c r="A40" s="86" t="s">
        <v>193</v>
      </c>
      <c r="B40" s="87" t="s">
        <v>117</v>
      </c>
      <c r="C40" s="87"/>
      <c r="D40" s="87"/>
      <c r="E40" s="88">
        <v>40000</v>
      </c>
      <c r="F40" s="86" t="s">
        <v>171</v>
      </c>
      <c r="G40" s="87" t="s">
        <v>226</v>
      </c>
      <c r="H40" s="87"/>
      <c r="I40" s="87"/>
      <c r="J40" s="88">
        <v>6000</v>
      </c>
    </row>
    <row r="41" spans="1:10">
      <c r="A41" s="86"/>
      <c r="B41" s="87"/>
      <c r="C41" s="87"/>
      <c r="D41" s="87"/>
      <c r="E41" s="86"/>
      <c r="F41" s="86" t="s">
        <v>190</v>
      </c>
      <c r="G41" s="87" t="s">
        <v>227</v>
      </c>
      <c r="H41" s="87"/>
      <c r="I41" s="87"/>
      <c r="J41" s="88">
        <v>5000</v>
      </c>
    </row>
    <row r="42" spans="1:10">
      <c r="A42" s="86"/>
      <c r="B42" s="87"/>
      <c r="C42" s="87"/>
      <c r="D42" s="87"/>
      <c r="E42" s="86"/>
      <c r="F42" s="86" t="s">
        <v>202</v>
      </c>
      <c r="G42" s="87" t="s">
        <v>222</v>
      </c>
      <c r="H42" s="87"/>
      <c r="I42" s="87"/>
      <c r="J42" s="88">
        <v>42000</v>
      </c>
    </row>
    <row r="43" spans="1:10">
      <c r="A43" s="86"/>
      <c r="B43" s="87"/>
      <c r="C43" s="87"/>
      <c r="D43" s="87"/>
      <c r="E43" s="66">
        <f>SUM(E37:E40)</f>
        <v>273000</v>
      </c>
      <c r="F43" s="86"/>
      <c r="G43" s="87"/>
      <c r="H43" s="87"/>
      <c r="I43" s="87"/>
      <c r="J43" s="66">
        <f>E43</f>
        <v>273000</v>
      </c>
    </row>
    <row r="44" spans="1:10">
      <c r="A44" s="86" t="s">
        <v>209</v>
      </c>
      <c r="B44" s="87" t="s">
        <v>211</v>
      </c>
      <c r="C44" s="87"/>
      <c r="D44" s="87"/>
      <c r="E44" s="88">
        <v>42000</v>
      </c>
      <c r="F44" s="86"/>
      <c r="G44" s="87"/>
      <c r="H44" s="87"/>
      <c r="I44" s="87"/>
      <c r="J44" s="86"/>
    </row>
    <row r="45" spans="1:10">
      <c r="A45" s="50"/>
      <c r="B45" s="51"/>
      <c r="C45" s="51"/>
      <c r="D45" s="51"/>
      <c r="E45" s="50"/>
      <c r="F45" s="50"/>
      <c r="G45" s="51"/>
      <c r="H45" s="51"/>
      <c r="I45" s="93"/>
      <c r="J45" s="50"/>
    </row>
    <row r="46" spans="1:10">
      <c r="A46" s="49" t="s">
        <v>100</v>
      </c>
      <c r="B46" s="51"/>
      <c r="C46" s="51"/>
      <c r="D46" s="51"/>
      <c r="E46" s="91" t="s">
        <v>228</v>
      </c>
      <c r="F46" s="91"/>
      <c r="G46" s="51"/>
      <c r="H46" s="51"/>
      <c r="I46" s="51"/>
      <c r="J46" s="52" t="s">
        <v>197</v>
      </c>
    </row>
    <row r="47" spans="1:10">
      <c r="A47" s="53" t="s">
        <v>94</v>
      </c>
      <c r="B47" s="53" t="s">
        <v>9</v>
      </c>
      <c r="C47" s="53" t="s">
        <v>198</v>
      </c>
      <c r="D47" s="53" t="s">
        <v>97</v>
      </c>
      <c r="E47" s="53" t="s">
        <v>97</v>
      </c>
      <c r="F47" s="53" t="s">
        <v>94</v>
      </c>
      <c r="G47" s="53" t="s">
        <v>9</v>
      </c>
      <c r="H47" s="53" t="s">
        <v>198</v>
      </c>
      <c r="I47" s="53" t="s">
        <v>97</v>
      </c>
      <c r="J47" s="53" t="s">
        <v>97</v>
      </c>
    </row>
    <row r="48" spans="1:10">
      <c r="A48" s="86" t="s">
        <v>98</v>
      </c>
      <c r="B48" s="87" t="s">
        <v>211</v>
      </c>
      <c r="C48" s="87"/>
      <c r="D48" s="87"/>
      <c r="E48" s="92">
        <v>90000</v>
      </c>
      <c r="F48" s="86" t="s">
        <v>202</v>
      </c>
      <c r="G48" s="87" t="s">
        <v>222</v>
      </c>
      <c r="H48" s="87"/>
      <c r="I48" s="87"/>
      <c r="J48" s="88">
        <v>90000</v>
      </c>
    </row>
    <row r="49" spans="1:10">
      <c r="A49" s="86"/>
      <c r="B49" s="87"/>
      <c r="C49" s="87"/>
      <c r="D49" s="87"/>
      <c r="E49" s="66">
        <v>90000</v>
      </c>
      <c r="F49" s="86"/>
      <c r="G49" s="87"/>
      <c r="H49" s="87"/>
      <c r="I49" s="87"/>
      <c r="J49" s="66">
        <v>90000</v>
      </c>
    </row>
    <row r="50" spans="1:10">
      <c r="A50" s="86" t="s">
        <v>209</v>
      </c>
      <c r="B50" s="87" t="s">
        <v>211</v>
      </c>
      <c r="C50" s="87"/>
      <c r="D50" s="87"/>
      <c r="E50" s="88">
        <v>90000</v>
      </c>
      <c r="F50" s="86"/>
      <c r="G50" s="87"/>
      <c r="H50" s="87"/>
      <c r="I50" s="87"/>
      <c r="J50" s="86"/>
    </row>
    <row r="51" spans="1:10">
      <c r="A51" s="50"/>
      <c r="B51" s="51"/>
      <c r="C51" s="51"/>
      <c r="D51" s="51"/>
      <c r="E51" s="50"/>
      <c r="F51" s="50"/>
      <c r="G51" s="51"/>
      <c r="H51" s="51"/>
      <c r="I51" s="51"/>
      <c r="J51" s="50"/>
    </row>
    <row r="52" spans="1:10">
      <c r="A52" s="49" t="s">
        <v>100</v>
      </c>
      <c r="B52" s="51"/>
      <c r="C52" s="51"/>
      <c r="D52" s="51"/>
      <c r="E52" s="91" t="s">
        <v>229</v>
      </c>
      <c r="F52" s="91"/>
      <c r="G52" s="51"/>
      <c r="H52" s="51"/>
      <c r="I52" s="51"/>
      <c r="J52" s="52" t="s">
        <v>197</v>
      </c>
    </row>
    <row r="53" spans="1:10">
      <c r="A53" s="53" t="s">
        <v>94</v>
      </c>
      <c r="B53" s="53" t="s">
        <v>9</v>
      </c>
      <c r="C53" s="53" t="s">
        <v>198</v>
      </c>
      <c r="D53" s="53" t="s">
        <v>97</v>
      </c>
      <c r="E53" s="53" t="s">
        <v>97</v>
      </c>
      <c r="F53" s="53" t="s">
        <v>94</v>
      </c>
      <c r="G53" s="53" t="s">
        <v>9</v>
      </c>
      <c r="H53" s="53" t="s">
        <v>198</v>
      </c>
      <c r="I53" s="53" t="s">
        <v>97</v>
      </c>
      <c r="J53" s="53" t="s">
        <v>97</v>
      </c>
    </row>
    <row r="54" spans="1:10">
      <c r="A54" s="86" t="s">
        <v>98</v>
      </c>
      <c r="B54" s="87" t="s">
        <v>211</v>
      </c>
      <c r="C54" s="87"/>
      <c r="D54" s="87"/>
      <c r="E54" s="88">
        <v>60000</v>
      </c>
      <c r="F54" s="86" t="s">
        <v>202</v>
      </c>
      <c r="G54" s="87" t="s">
        <v>222</v>
      </c>
      <c r="H54" s="87"/>
      <c r="I54" s="87"/>
      <c r="J54" s="88">
        <v>85000</v>
      </c>
    </row>
    <row r="55" spans="1:10">
      <c r="A55" s="86" t="s">
        <v>189</v>
      </c>
      <c r="B55" s="87" t="s">
        <v>117</v>
      </c>
      <c r="C55" s="87"/>
      <c r="D55" s="87"/>
      <c r="E55" s="88">
        <v>25000</v>
      </c>
      <c r="F55" s="86"/>
      <c r="G55" s="87"/>
      <c r="H55" s="87"/>
      <c r="I55" s="87"/>
      <c r="J55" s="86"/>
    </row>
    <row r="56" spans="1:10">
      <c r="A56" s="86"/>
      <c r="B56" s="87"/>
      <c r="C56" s="87"/>
      <c r="D56" s="87"/>
      <c r="E56" s="66">
        <f>SUM(E54:E55)</f>
        <v>85000</v>
      </c>
      <c r="F56" s="86"/>
      <c r="G56" s="87"/>
      <c r="H56" s="87"/>
      <c r="I56" s="87"/>
      <c r="J56" s="66">
        <f>E56</f>
        <v>85000</v>
      </c>
    </row>
    <row r="57" spans="1:10">
      <c r="A57" s="86" t="s">
        <v>209</v>
      </c>
      <c r="B57" s="87" t="s">
        <v>211</v>
      </c>
      <c r="C57" s="87"/>
      <c r="D57" s="87"/>
      <c r="E57" s="88">
        <v>85000</v>
      </c>
      <c r="F57" s="86"/>
      <c r="G57" s="87"/>
      <c r="H57" s="87"/>
      <c r="I57" s="87"/>
      <c r="J57" s="86"/>
    </row>
    <row r="58" spans="1:10">
      <c r="A58" s="50"/>
      <c r="B58" s="51"/>
      <c r="C58" s="51"/>
      <c r="D58" s="51"/>
      <c r="E58" s="50"/>
      <c r="F58" s="50"/>
      <c r="G58" s="51"/>
      <c r="H58" s="51"/>
      <c r="I58" s="51"/>
      <c r="J58" s="50"/>
    </row>
    <row r="59" spans="1:10">
      <c r="A59" s="49" t="s">
        <v>100</v>
      </c>
      <c r="B59" s="51"/>
      <c r="C59" s="51"/>
      <c r="D59" s="51"/>
      <c r="E59" s="91" t="s">
        <v>230</v>
      </c>
      <c r="F59" s="91"/>
      <c r="G59" s="51"/>
      <c r="H59" s="51"/>
      <c r="I59" s="51"/>
      <c r="J59" s="52" t="s">
        <v>197</v>
      </c>
    </row>
    <row r="60" spans="1:10">
      <c r="A60" s="53" t="s">
        <v>94</v>
      </c>
      <c r="B60" s="53" t="s">
        <v>9</v>
      </c>
      <c r="C60" s="53" t="s">
        <v>198</v>
      </c>
      <c r="D60" s="53" t="s">
        <v>97</v>
      </c>
      <c r="E60" s="53" t="s">
        <v>97</v>
      </c>
      <c r="F60" s="53" t="s">
        <v>94</v>
      </c>
      <c r="G60" s="53" t="s">
        <v>9</v>
      </c>
      <c r="H60" s="53" t="s">
        <v>198</v>
      </c>
      <c r="I60" s="53" t="s">
        <v>97</v>
      </c>
      <c r="J60" s="53" t="s">
        <v>97</v>
      </c>
    </row>
    <row r="61" spans="1:10">
      <c r="A61" s="86" t="s">
        <v>98</v>
      </c>
      <c r="B61" s="87" t="s">
        <v>211</v>
      </c>
      <c r="C61" s="87"/>
      <c r="D61" s="87"/>
      <c r="E61" s="88">
        <v>200000</v>
      </c>
      <c r="F61" s="86" t="s">
        <v>202</v>
      </c>
      <c r="G61" s="87" t="s">
        <v>222</v>
      </c>
      <c r="H61" s="87"/>
      <c r="I61" s="87"/>
      <c r="J61" s="88">
        <v>200000</v>
      </c>
    </row>
    <row r="62" spans="1:10">
      <c r="A62" s="86"/>
      <c r="B62" s="87"/>
      <c r="C62" s="87"/>
      <c r="D62" s="87"/>
      <c r="E62" s="66">
        <v>200000</v>
      </c>
      <c r="F62" s="86"/>
      <c r="G62" s="87"/>
      <c r="H62" s="87"/>
      <c r="I62" s="87"/>
      <c r="J62" s="66">
        <v>200000</v>
      </c>
    </row>
    <row r="63" spans="1:10">
      <c r="A63" s="86" t="s">
        <v>209</v>
      </c>
      <c r="B63" s="87" t="s">
        <v>211</v>
      </c>
      <c r="C63" s="87"/>
      <c r="D63" s="87"/>
      <c r="E63" s="88">
        <v>200000</v>
      </c>
      <c r="F63" s="86"/>
      <c r="G63" s="87"/>
      <c r="H63" s="87"/>
      <c r="I63" s="87"/>
      <c r="J63" s="86"/>
    </row>
    <row r="64" spans="1:10">
      <c r="A64" s="50"/>
      <c r="B64" s="51"/>
      <c r="C64" s="51"/>
      <c r="D64" s="51"/>
      <c r="E64" s="50"/>
      <c r="F64" s="50"/>
      <c r="G64" s="51"/>
      <c r="H64" s="51"/>
      <c r="I64" s="51"/>
      <c r="J64" s="50"/>
    </row>
    <row r="65" spans="1:10">
      <c r="A65" s="49" t="s">
        <v>100</v>
      </c>
      <c r="B65" s="51"/>
      <c r="C65" s="51"/>
      <c r="D65" s="51"/>
      <c r="E65" s="91" t="s">
        <v>231</v>
      </c>
      <c r="F65" s="91"/>
      <c r="G65" s="51"/>
      <c r="H65" s="51"/>
      <c r="I65" s="51"/>
      <c r="J65" s="52" t="s">
        <v>197</v>
      </c>
    </row>
    <row r="66" spans="1:10">
      <c r="A66" s="53" t="s">
        <v>94</v>
      </c>
      <c r="B66" s="53" t="s">
        <v>9</v>
      </c>
      <c r="C66" s="53" t="s">
        <v>198</v>
      </c>
      <c r="D66" s="53" t="s">
        <v>97</v>
      </c>
      <c r="E66" s="53" t="s">
        <v>97</v>
      </c>
      <c r="F66" s="53" t="s">
        <v>94</v>
      </c>
      <c r="G66" s="53" t="s">
        <v>9</v>
      </c>
      <c r="H66" s="53" t="s">
        <v>198</v>
      </c>
      <c r="I66" s="53" t="s">
        <v>97</v>
      </c>
      <c r="J66" s="53" t="s">
        <v>97</v>
      </c>
    </row>
    <row r="67" spans="1:10">
      <c r="A67" s="86" t="s">
        <v>98</v>
      </c>
      <c r="B67" s="87" t="s">
        <v>211</v>
      </c>
      <c r="C67" s="87"/>
      <c r="D67" s="87"/>
      <c r="E67" s="88">
        <v>40000</v>
      </c>
      <c r="F67" s="86" t="s">
        <v>202</v>
      </c>
      <c r="G67" s="87" t="s">
        <v>222</v>
      </c>
      <c r="H67" s="87"/>
      <c r="I67" s="87"/>
      <c r="J67" s="88">
        <v>40000</v>
      </c>
    </row>
    <row r="68" spans="1:10">
      <c r="A68" s="86"/>
      <c r="B68" s="87"/>
      <c r="C68" s="87"/>
      <c r="D68" s="87"/>
      <c r="E68" s="66">
        <v>40000</v>
      </c>
      <c r="F68" s="86"/>
      <c r="G68" s="87"/>
      <c r="H68" s="87"/>
      <c r="I68" s="87"/>
      <c r="J68" s="66">
        <v>40000</v>
      </c>
    </row>
    <row r="69" spans="1:10">
      <c r="A69" s="86" t="s">
        <v>209</v>
      </c>
      <c r="B69" s="87" t="s">
        <v>211</v>
      </c>
      <c r="C69" s="87"/>
      <c r="D69" s="87"/>
      <c r="E69" s="88">
        <v>40000</v>
      </c>
      <c r="F69" s="86"/>
      <c r="G69" s="87"/>
      <c r="H69" s="87"/>
      <c r="I69" s="87"/>
      <c r="J69" s="86"/>
    </row>
    <row r="70" spans="1:10">
      <c r="A70" s="50"/>
      <c r="B70" s="51"/>
      <c r="C70" s="51"/>
      <c r="D70" s="51"/>
      <c r="E70" s="50"/>
      <c r="F70" s="50"/>
      <c r="G70" s="51"/>
      <c r="H70" s="51"/>
      <c r="I70" s="51"/>
      <c r="J70" s="50"/>
    </row>
    <row r="71" spans="1:10">
      <c r="A71" s="49" t="s">
        <v>100</v>
      </c>
      <c r="B71" s="51"/>
      <c r="C71" s="51"/>
      <c r="D71" s="51"/>
      <c r="E71" s="91" t="s">
        <v>232</v>
      </c>
      <c r="F71" s="91"/>
      <c r="G71" s="51"/>
      <c r="H71" s="51"/>
      <c r="I71" s="51"/>
      <c r="J71" s="52" t="s">
        <v>197</v>
      </c>
    </row>
    <row r="72" spans="1:10">
      <c r="A72" s="53" t="s">
        <v>94</v>
      </c>
      <c r="B72" s="53" t="s">
        <v>9</v>
      </c>
      <c r="C72" s="53" t="s">
        <v>198</v>
      </c>
      <c r="D72" s="53" t="s">
        <v>97</v>
      </c>
      <c r="E72" s="53" t="s">
        <v>97</v>
      </c>
      <c r="F72" s="53" t="s">
        <v>94</v>
      </c>
      <c r="G72" s="53" t="s">
        <v>9</v>
      </c>
      <c r="H72" s="53" t="s">
        <v>198</v>
      </c>
      <c r="I72" s="53" t="s">
        <v>97</v>
      </c>
      <c r="J72" s="53" t="s">
        <v>97</v>
      </c>
    </row>
    <row r="73" spans="1:10">
      <c r="A73" s="86" t="s">
        <v>98</v>
      </c>
      <c r="B73" s="87" t="s">
        <v>211</v>
      </c>
      <c r="C73" s="87"/>
      <c r="D73" s="87"/>
      <c r="E73" s="88">
        <v>70000</v>
      </c>
      <c r="F73" s="86" t="s">
        <v>133</v>
      </c>
      <c r="G73" s="87" t="s">
        <v>233</v>
      </c>
      <c r="H73" s="87"/>
      <c r="I73" s="87"/>
      <c r="J73" s="88">
        <v>10000</v>
      </c>
    </row>
    <row r="74" spans="1:10">
      <c r="A74" s="86" t="s">
        <v>118</v>
      </c>
      <c r="B74" s="87" t="s">
        <v>119</v>
      </c>
      <c r="C74" s="87"/>
      <c r="D74" s="87"/>
      <c r="E74" s="88">
        <v>160000</v>
      </c>
      <c r="F74" s="86" t="s">
        <v>144</v>
      </c>
      <c r="G74" s="87" t="s">
        <v>234</v>
      </c>
      <c r="H74" s="87"/>
      <c r="I74" s="87"/>
      <c r="J74" s="88">
        <v>210000</v>
      </c>
    </row>
    <row r="75" spans="1:10">
      <c r="A75" s="86"/>
      <c r="B75" s="87"/>
      <c r="C75" s="87"/>
      <c r="D75" s="87"/>
      <c r="E75" s="86"/>
      <c r="F75" s="86" t="s">
        <v>144</v>
      </c>
      <c r="G75" s="87" t="s">
        <v>235</v>
      </c>
      <c r="H75" s="87"/>
      <c r="I75" s="87"/>
      <c r="J75" s="88">
        <v>6000</v>
      </c>
    </row>
    <row r="76" spans="1:10">
      <c r="A76" s="86"/>
      <c r="B76" s="87"/>
      <c r="C76" s="87"/>
      <c r="D76" s="87"/>
      <c r="E76" s="86"/>
      <c r="F76" s="86" t="s">
        <v>202</v>
      </c>
      <c r="G76" s="87" t="s">
        <v>222</v>
      </c>
      <c r="H76" s="87"/>
      <c r="I76" s="87"/>
      <c r="J76" s="88">
        <v>4000</v>
      </c>
    </row>
    <row r="77" spans="1:10">
      <c r="A77" s="86"/>
      <c r="B77" s="87"/>
      <c r="C77" s="87"/>
      <c r="D77" s="87"/>
      <c r="E77" s="66">
        <f>SUM(E73:E74)</f>
        <v>230000</v>
      </c>
      <c r="F77" s="86"/>
      <c r="G77" s="87"/>
      <c r="H77" s="87"/>
      <c r="I77" s="87"/>
      <c r="J77" s="66">
        <f>E77</f>
        <v>230000</v>
      </c>
    </row>
    <row r="78" spans="1:10">
      <c r="A78" s="86" t="s">
        <v>209</v>
      </c>
      <c r="B78" s="87" t="s">
        <v>211</v>
      </c>
      <c r="C78" s="87"/>
      <c r="D78" s="87"/>
      <c r="E78" s="88">
        <v>4000</v>
      </c>
      <c r="F78" s="86"/>
      <c r="G78" s="87"/>
      <c r="H78" s="87"/>
      <c r="I78" s="87"/>
      <c r="J78" s="86"/>
    </row>
    <row r="79" spans="1:10">
      <c r="A79" s="50"/>
      <c r="B79" s="51"/>
      <c r="C79" s="51"/>
      <c r="D79" s="51"/>
      <c r="E79" s="50"/>
      <c r="F79" s="50"/>
      <c r="G79" s="51"/>
      <c r="H79" s="51"/>
      <c r="I79" s="51"/>
      <c r="J79" s="50"/>
    </row>
    <row r="80" spans="1:10">
      <c r="A80" s="49" t="s">
        <v>100</v>
      </c>
      <c r="B80" s="51"/>
      <c r="C80" s="51"/>
      <c r="D80" s="51"/>
      <c r="E80" s="91" t="s">
        <v>236</v>
      </c>
      <c r="F80" s="91"/>
      <c r="G80" s="51"/>
      <c r="H80" s="51"/>
      <c r="I80" s="51"/>
      <c r="J80" s="52" t="s">
        <v>197</v>
      </c>
    </row>
    <row r="81" spans="1:10">
      <c r="A81" s="53" t="s">
        <v>94</v>
      </c>
      <c r="B81" s="53" t="s">
        <v>9</v>
      </c>
      <c r="C81" s="53" t="s">
        <v>198</v>
      </c>
      <c r="D81" s="53" t="s">
        <v>97</v>
      </c>
      <c r="E81" s="53" t="s">
        <v>97</v>
      </c>
      <c r="F81" s="53" t="s">
        <v>94</v>
      </c>
      <c r="G81" s="53" t="s">
        <v>9</v>
      </c>
      <c r="H81" s="53" t="s">
        <v>198</v>
      </c>
      <c r="I81" s="53" t="s">
        <v>97</v>
      </c>
      <c r="J81" s="53" t="s">
        <v>97</v>
      </c>
    </row>
    <row r="82" spans="1:10">
      <c r="A82" s="86" t="s">
        <v>98</v>
      </c>
      <c r="B82" s="87" t="s">
        <v>211</v>
      </c>
      <c r="C82" s="87"/>
      <c r="D82" s="87"/>
      <c r="E82" s="88">
        <v>45000</v>
      </c>
      <c r="F82" s="86" t="s">
        <v>158</v>
      </c>
      <c r="G82" s="87" t="s">
        <v>200</v>
      </c>
      <c r="H82" s="87"/>
      <c r="I82" s="87"/>
      <c r="J82" s="88">
        <v>110000</v>
      </c>
    </row>
    <row r="83" spans="1:10">
      <c r="A83" s="86" t="s">
        <v>156</v>
      </c>
      <c r="B83" s="87" t="s">
        <v>119</v>
      </c>
      <c r="C83" s="87"/>
      <c r="D83" s="87"/>
      <c r="E83" s="88">
        <v>120000</v>
      </c>
      <c r="F83" s="86" t="s">
        <v>202</v>
      </c>
      <c r="G83" s="87" t="s">
        <v>222</v>
      </c>
      <c r="H83" s="87"/>
      <c r="I83" s="87"/>
      <c r="J83" s="88">
        <v>55000</v>
      </c>
    </row>
    <row r="84" spans="1:10">
      <c r="A84" s="86"/>
      <c r="B84" s="87"/>
      <c r="C84" s="87"/>
      <c r="D84" s="87"/>
      <c r="E84" s="66">
        <f>SUM(E82:E83)</f>
        <v>165000</v>
      </c>
      <c r="F84" s="86"/>
      <c r="G84" s="87"/>
      <c r="H84" s="87"/>
      <c r="I84" s="87"/>
      <c r="J84" s="66">
        <f>E84</f>
        <v>165000</v>
      </c>
    </row>
    <row r="85" spans="1:10">
      <c r="A85" s="86" t="s">
        <v>202</v>
      </c>
      <c r="B85" s="87" t="s">
        <v>211</v>
      </c>
      <c r="C85" s="87"/>
      <c r="D85" s="87"/>
      <c r="E85" s="88">
        <v>55000</v>
      </c>
      <c r="F85" s="86"/>
      <c r="G85" s="87"/>
      <c r="H85" s="87"/>
      <c r="I85" s="87"/>
      <c r="J85" s="86"/>
    </row>
    <row r="86" spans="1:10">
      <c r="A86" s="50"/>
      <c r="B86" s="51"/>
      <c r="C86" s="51"/>
      <c r="D86" s="51"/>
      <c r="E86" s="50"/>
      <c r="F86" s="50"/>
      <c r="G86" s="51"/>
      <c r="H86" s="51"/>
      <c r="I86" s="51"/>
      <c r="J86" s="50"/>
    </row>
    <row r="87" spans="1:10">
      <c r="A87" s="49" t="s">
        <v>100</v>
      </c>
      <c r="B87" s="51"/>
      <c r="C87" s="51"/>
      <c r="D87" s="51"/>
      <c r="E87" s="91" t="s">
        <v>237</v>
      </c>
      <c r="F87" s="91"/>
      <c r="G87" s="51"/>
      <c r="H87" s="51"/>
      <c r="I87" s="51"/>
      <c r="J87" s="52" t="s">
        <v>197</v>
      </c>
    </row>
    <row r="88" spans="1:10">
      <c r="A88" s="53" t="s">
        <v>94</v>
      </c>
      <c r="B88" s="53" t="s">
        <v>9</v>
      </c>
      <c r="C88" s="53" t="s">
        <v>198</v>
      </c>
      <c r="D88" s="53" t="s">
        <v>97</v>
      </c>
      <c r="E88" s="53" t="s">
        <v>97</v>
      </c>
      <c r="F88" s="53" t="s">
        <v>94</v>
      </c>
      <c r="G88" s="53" t="s">
        <v>9</v>
      </c>
      <c r="H88" s="53" t="s">
        <v>198</v>
      </c>
      <c r="I88" s="53" t="s">
        <v>97</v>
      </c>
      <c r="J88" s="53" t="s">
        <v>97</v>
      </c>
    </row>
    <row r="89" spans="1:10">
      <c r="A89" s="86" t="s">
        <v>202</v>
      </c>
      <c r="B89" s="87" t="s">
        <v>238</v>
      </c>
      <c r="C89" s="87"/>
      <c r="D89" s="87"/>
      <c r="E89" s="88">
        <v>100000</v>
      </c>
      <c r="F89" s="86" t="s">
        <v>98</v>
      </c>
      <c r="G89" s="87" t="s">
        <v>210</v>
      </c>
      <c r="H89" s="87"/>
      <c r="I89" s="87"/>
      <c r="J89" s="88">
        <v>100000</v>
      </c>
    </row>
    <row r="90" spans="1:10">
      <c r="A90" s="86"/>
      <c r="B90" s="87"/>
      <c r="C90" s="87"/>
      <c r="D90" s="87"/>
      <c r="E90" s="66">
        <v>100000</v>
      </c>
      <c r="F90" s="86"/>
      <c r="G90" s="87"/>
      <c r="H90" s="87"/>
      <c r="I90" s="87"/>
      <c r="J90" s="66">
        <v>100000</v>
      </c>
    </row>
    <row r="91" spans="1:10">
      <c r="A91" s="86"/>
      <c r="B91" s="87"/>
      <c r="C91" s="87"/>
      <c r="D91" s="87"/>
      <c r="E91" s="86"/>
      <c r="F91" s="86" t="s">
        <v>209</v>
      </c>
      <c r="G91" s="87" t="s">
        <v>210</v>
      </c>
      <c r="H91" s="87"/>
      <c r="I91" s="87"/>
      <c r="J91" s="88">
        <v>100000</v>
      </c>
    </row>
    <row r="92" spans="1:10">
      <c r="A92" s="50"/>
      <c r="B92" s="51"/>
      <c r="C92" s="51"/>
      <c r="D92" s="51"/>
      <c r="E92" s="50"/>
      <c r="F92" s="50"/>
      <c r="G92" s="51"/>
      <c r="H92" s="51"/>
      <c r="I92" s="51"/>
      <c r="J92" s="50"/>
    </row>
    <row r="93" spans="1:10">
      <c r="A93" s="49" t="s">
        <v>100</v>
      </c>
      <c r="B93" s="51"/>
      <c r="C93" s="51"/>
      <c r="D93" s="51"/>
      <c r="E93" s="91" t="s">
        <v>239</v>
      </c>
      <c r="F93" s="91"/>
      <c r="G93" s="51"/>
      <c r="H93" s="51"/>
      <c r="I93" s="51"/>
      <c r="J93" s="52" t="s">
        <v>197</v>
      </c>
    </row>
    <row r="94" spans="1:10">
      <c r="A94" s="53" t="s">
        <v>94</v>
      </c>
      <c r="B94" s="53" t="s">
        <v>9</v>
      </c>
      <c r="C94" s="53" t="s">
        <v>198</v>
      </c>
      <c r="D94" s="53" t="s">
        <v>97</v>
      </c>
      <c r="E94" s="53" t="s">
        <v>97</v>
      </c>
      <c r="F94" s="53" t="s">
        <v>94</v>
      </c>
      <c r="G94" s="53" t="s">
        <v>9</v>
      </c>
      <c r="H94" s="53" t="s">
        <v>198</v>
      </c>
      <c r="I94" s="53" t="s">
        <v>97</v>
      </c>
      <c r="J94" s="53" t="s">
        <v>97</v>
      </c>
    </row>
    <row r="95" spans="1:10">
      <c r="A95" s="86" t="s">
        <v>129</v>
      </c>
      <c r="B95" s="87" t="s">
        <v>131</v>
      </c>
      <c r="C95" s="87"/>
      <c r="D95" s="87"/>
      <c r="E95" s="88">
        <v>12000</v>
      </c>
      <c r="F95" s="86" t="s">
        <v>98</v>
      </c>
      <c r="G95" s="87" t="s">
        <v>240</v>
      </c>
      <c r="H95" s="87"/>
      <c r="I95" s="87"/>
      <c r="J95" s="88">
        <v>80000</v>
      </c>
    </row>
    <row r="96" spans="1:10">
      <c r="A96" s="86" t="s">
        <v>148</v>
      </c>
      <c r="B96" s="87" t="s">
        <v>139</v>
      </c>
      <c r="C96" s="87"/>
      <c r="D96" s="87"/>
      <c r="E96" s="88">
        <v>150000</v>
      </c>
      <c r="F96" s="86" t="s">
        <v>113</v>
      </c>
      <c r="G96" s="87" t="s">
        <v>212</v>
      </c>
      <c r="H96" s="87"/>
      <c r="I96" s="87"/>
      <c r="J96" s="88">
        <v>110000</v>
      </c>
    </row>
    <row r="97" spans="1:10">
      <c r="A97" s="86" t="s">
        <v>148</v>
      </c>
      <c r="B97" s="87" t="s">
        <v>149</v>
      </c>
      <c r="C97" s="87"/>
      <c r="D97" s="87"/>
      <c r="E97" s="88">
        <v>7000</v>
      </c>
      <c r="F97" s="86"/>
      <c r="G97" s="87"/>
      <c r="H97" s="87"/>
      <c r="I97" s="87"/>
      <c r="J97" s="88"/>
    </row>
    <row r="98" spans="1:10">
      <c r="A98" s="86" t="s">
        <v>202</v>
      </c>
      <c r="B98" s="87" t="s">
        <v>238</v>
      </c>
      <c r="C98" s="87"/>
      <c r="D98" s="87"/>
      <c r="E98" s="88">
        <v>21000</v>
      </c>
      <c r="F98" s="86"/>
      <c r="G98" s="87"/>
      <c r="H98" s="87"/>
      <c r="I98" s="87"/>
      <c r="J98" s="86"/>
    </row>
    <row r="99" spans="1:10">
      <c r="A99" s="86"/>
      <c r="B99" s="87"/>
      <c r="C99" s="87"/>
      <c r="D99" s="87"/>
      <c r="E99" s="66">
        <f>J99</f>
        <v>190000</v>
      </c>
      <c r="F99" s="86"/>
      <c r="G99" s="87"/>
      <c r="H99" s="87"/>
      <c r="I99" s="87"/>
      <c r="J99" s="66">
        <f>SUM(J95:J96)</f>
        <v>190000</v>
      </c>
    </row>
    <row r="100" spans="1:10">
      <c r="A100" s="86"/>
      <c r="B100" s="87"/>
      <c r="C100" s="87"/>
      <c r="D100" s="87"/>
      <c r="E100" s="88"/>
      <c r="F100" s="86" t="s">
        <v>209</v>
      </c>
      <c r="G100" s="87" t="s">
        <v>210</v>
      </c>
      <c r="H100" s="87"/>
      <c r="I100" s="87"/>
      <c r="J100" s="88">
        <v>21000</v>
      </c>
    </row>
    <row r="101" spans="1:10">
      <c r="A101" s="50"/>
      <c r="B101" s="51"/>
      <c r="C101" s="51"/>
      <c r="D101" s="51"/>
      <c r="E101" s="50"/>
      <c r="F101" s="50"/>
      <c r="G101" s="51"/>
      <c r="H101" s="51"/>
      <c r="I101" s="51"/>
      <c r="J101" s="50"/>
    </row>
    <row r="102" spans="1:10">
      <c r="A102" s="49" t="s">
        <v>100</v>
      </c>
      <c r="B102" s="51"/>
      <c r="C102" s="51"/>
      <c r="D102" s="51"/>
      <c r="E102" s="91" t="s">
        <v>241</v>
      </c>
      <c r="F102" s="91"/>
      <c r="G102" s="51"/>
      <c r="H102" s="51"/>
      <c r="I102" s="51"/>
      <c r="J102" s="52" t="s">
        <v>197</v>
      </c>
    </row>
    <row r="103" spans="1:10">
      <c r="A103" s="53" t="s">
        <v>94</v>
      </c>
      <c r="B103" s="53" t="s">
        <v>9</v>
      </c>
      <c r="C103" s="53" t="s">
        <v>198</v>
      </c>
      <c r="D103" s="53" t="s">
        <v>97</v>
      </c>
      <c r="E103" s="53" t="s">
        <v>97</v>
      </c>
      <c r="F103" s="53" t="s">
        <v>94</v>
      </c>
      <c r="G103" s="53" t="s">
        <v>9</v>
      </c>
      <c r="H103" s="53" t="s">
        <v>198</v>
      </c>
      <c r="I103" s="53" t="s">
        <v>97</v>
      </c>
      <c r="J103" s="53" t="s">
        <v>97</v>
      </c>
    </row>
    <row r="104" spans="1:10">
      <c r="A104" s="86" t="s">
        <v>202</v>
      </c>
      <c r="B104" s="87" t="s">
        <v>242</v>
      </c>
      <c r="C104" s="87"/>
      <c r="D104" s="87"/>
      <c r="E104" s="88">
        <v>125000</v>
      </c>
      <c r="F104" s="86" t="s">
        <v>98</v>
      </c>
      <c r="G104" s="87" t="s">
        <v>240</v>
      </c>
      <c r="H104" s="87"/>
      <c r="I104" s="87"/>
      <c r="J104" s="88">
        <v>40000</v>
      </c>
    </row>
    <row r="105" spans="1:10">
      <c r="A105" s="86"/>
      <c r="B105" s="87"/>
      <c r="C105" s="87"/>
      <c r="D105" s="87"/>
      <c r="E105" s="88"/>
      <c r="F105" s="86" t="s">
        <v>154</v>
      </c>
      <c r="G105" s="87" t="s">
        <v>212</v>
      </c>
      <c r="H105" s="87"/>
      <c r="I105" s="87"/>
      <c r="J105" s="88">
        <v>85000</v>
      </c>
    </row>
    <row r="106" spans="1:10">
      <c r="A106" s="86"/>
      <c r="B106" s="87"/>
      <c r="C106" s="87"/>
      <c r="D106" s="87"/>
      <c r="E106" s="90">
        <f>J106</f>
        <v>125000</v>
      </c>
      <c r="F106" s="86"/>
      <c r="G106" s="87"/>
      <c r="H106" s="87"/>
      <c r="I106" s="87"/>
      <c r="J106" s="66">
        <f>SUM(J104:J105)</f>
        <v>125000</v>
      </c>
    </row>
    <row r="107" spans="1:10">
      <c r="A107" s="86"/>
      <c r="B107" s="87"/>
      <c r="C107" s="87"/>
      <c r="D107" s="87"/>
      <c r="E107" s="86"/>
      <c r="F107" s="86" t="s">
        <v>243</v>
      </c>
      <c r="G107" s="87" t="s">
        <v>210</v>
      </c>
      <c r="H107" s="87"/>
      <c r="I107" s="87"/>
      <c r="J107" s="88">
        <v>125000</v>
      </c>
    </row>
    <row r="108" spans="1:10">
      <c r="A108" s="50"/>
      <c r="B108" s="51"/>
      <c r="C108" s="51"/>
      <c r="D108" s="51"/>
      <c r="E108" s="50"/>
      <c r="F108" s="50"/>
      <c r="G108" s="51"/>
      <c r="H108" s="51"/>
      <c r="I108" s="51"/>
      <c r="J108" s="50"/>
    </row>
    <row r="109" spans="1:10">
      <c r="A109" s="49" t="s">
        <v>100</v>
      </c>
      <c r="B109" s="51"/>
      <c r="C109" s="51"/>
      <c r="D109" s="51"/>
      <c r="E109" s="91" t="s">
        <v>114</v>
      </c>
      <c r="F109" s="91"/>
      <c r="G109" s="51"/>
      <c r="H109" s="51"/>
      <c r="I109" s="51"/>
      <c r="J109" s="52" t="s">
        <v>197</v>
      </c>
    </row>
    <row r="110" spans="1:10">
      <c r="A110" s="53" t="s">
        <v>94</v>
      </c>
      <c r="B110" s="53" t="s">
        <v>9</v>
      </c>
      <c r="C110" s="53" t="s">
        <v>198</v>
      </c>
      <c r="D110" s="53" t="s">
        <v>97</v>
      </c>
      <c r="E110" s="53" t="s">
        <v>97</v>
      </c>
      <c r="F110" s="53" t="s">
        <v>94</v>
      </c>
      <c r="G110" s="53" t="s">
        <v>9</v>
      </c>
      <c r="H110" s="53" t="s">
        <v>198</v>
      </c>
      <c r="I110" s="53" t="s">
        <v>97</v>
      </c>
      <c r="J110" s="53" t="s">
        <v>97</v>
      </c>
    </row>
    <row r="111" spans="1:10">
      <c r="A111" s="86" t="s">
        <v>113</v>
      </c>
      <c r="B111" s="87" t="s">
        <v>110</v>
      </c>
      <c r="C111" s="87"/>
      <c r="D111" s="87"/>
      <c r="E111" s="88">
        <v>110000</v>
      </c>
      <c r="F111" s="86" t="s">
        <v>202</v>
      </c>
      <c r="G111" s="87" t="s">
        <v>222</v>
      </c>
      <c r="H111" s="87"/>
      <c r="I111" s="87"/>
      <c r="J111" s="88">
        <v>260000</v>
      </c>
    </row>
    <row r="112" spans="1:10">
      <c r="A112" s="86" t="s">
        <v>116</v>
      </c>
      <c r="B112" s="87" t="s">
        <v>117</v>
      </c>
      <c r="C112" s="87"/>
      <c r="D112" s="87"/>
      <c r="E112" s="88">
        <v>35000</v>
      </c>
      <c r="F112" s="86"/>
      <c r="G112" s="87"/>
      <c r="H112" s="87"/>
      <c r="I112" s="87"/>
      <c r="J112" s="86"/>
    </row>
    <row r="113" spans="1:10">
      <c r="A113" s="86" t="s">
        <v>154</v>
      </c>
      <c r="B113" s="87" t="s">
        <v>111</v>
      </c>
      <c r="C113" s="87"/>
      <c r="D113" s="87"/>
      <c r="E113" s="88">
        <v>85000</v>
      </c>
      <c r="F113" s="86"/>
      <c r="G113" s="87"/>
      <c r="H113" s="87"/>
      <c r="I113" s="87"/>
      <c r="J113" s="86"/>
    </row>
    <row r="114" spans="1:10">
      <c r="A114" s="86" t="s">
        <v>181</v>
      </c>
      <c r="B114" s="87" t="s">
        <v>117</v>
      </c>
      <c r="C114" s="87"/>
      <c r="D114" s="87"/>
      <c r="E114" s="88">
        <v>30000</v>
      </c>
      <c r="F114" s="86"/>
      <c r="G114" s="87"/>
      <c r="H114" s="87"/>
      <c r="I114" s="87"/>
      <c r="J114" s="86"/>
    </row>
    <row r="115" spans="1:10">
      <c r="A115" s="86"/>
      <c r="B115" s="87"/>
      <c r="C115" s="87"/>
      <c r="D115" s="87"/>
      <c r="E115" s="66">
        <f>SUM(E111:E114)</f>
        <v>260000</v>
      </c>
      <c r="F115" s="86"/>
      <c r="G115" s="87"/>
      <c r="H115" s="87"/>
      <c r="I115" s="87"/>
      <c r="J115" s="66">
        <f>E115</f>
        <v>260000</v>
      </c>
    </row>
    <row r="116" spans="1:10">
      <c r="A116" s="86" t="s">
        <v>209</v>
      </c>
      <c r="B116" s="87" t="s">
        <v>211</v>
      </c>
      <c r="C116" s="87"/>
      <c r="D116" s="87"/>
      <c r="E116" s="88">
        <v>260000</v>
      </c>
      <c r="F116" s="86"/>
      <c r="G116" s="87"/>
      <c r="H116" s="87"/>
      <c r="I116" s="87"/>
      <c r="J116" s="86"/>
    </row>
    <row r="117" spans="1:10">
      <c r="A117" s="50"/>
      <c r="B117" s="51"/>
      <c r="C117" s="51"/>
      <c r="D117" s="51"/>
      <c r="E117" s="50"/>
      <c r="F117" s="50"/>
      <c r="G117" s="51"/>
      <c r="H117" s="51"/>
      <c r="I117" s="51"/>
      <c r="J117" s="50"/>
    </row>
    <row r="118" spans="1:10">
      <c r="A118" s="49" t="s">
        <v>100</v>
      </c>
      <c r="B118" s="51"/>
      <c r="C118" s="51"/>
      <c r="D118" s="51"/>
      <c r="E118" s="91" t="s">
        <v>244</v>
      </c>
      <c r="F118" s="91"/>
      <c r="G118" s="51"/>
      <c r="H118" s="51"/>
      <c r="I118" s="51"/>
      <c r="J118" s="52" t="s">
        <v>197</v>
      </c>
    </row>
    <row r="119" spans="1:10">
      <c r="A119" s="53" t="s">
        <v>94</v>
      </c>
      <c r="B119" s="53" t="s">
        <v>9</v>
      </c>
      <c r="C119" s="53" t="s">
        <v>198</v>
      </c>
      <c r="D119" s="53" t="s">
        <v>97</v>
      </c>
      <c r="E119" s="53" t="s">
        <v>97</v>
      </c>
      <c r="F119" s="53" t="s">
        <v>94</v>
      </c>
      <c r="G119" s="53" t="s">
        <v>9</v>
      </c>
      <c r="H119" s="53" t="s">
        <v>198</v>
      </c>
      <c r="I119" s="53" t="s">
        <v>97</v>
      </c>
      <c r="J119" s="53" t="s">
        <v>97</v>
      </c>
    </row>
    <row r="120" spans="1:10">
      <c r="A120" s="86" t="s">
        <v>202</v>
      </c>
      <c r="B120" s="87" t="s">
        <v>238</v>
      </c>
      <c r="C120" s="87"/>
      <c r="D120" s="87"/>
      <c r="E120" s="88">
        <v>355000</v>
      </c>
      <c r="F120" s="86" t="s">
        <v>118</v>
      </c>
      <c r="G120" s="87" t="s">
        <v>207</v>
      </c>
      <c r="H120" s="87"/>
      <c r="I120" s="87"/>
      <c r="J120" s="88">
        <v>160000</v>
      </c>
    </row>
    <row r="121" spans="1:10">
      <c r="A121" s="86"/>
      <c r="B121" s="87"/>
      <c r="C121" s="87"/>
      <c r="D121" s="87"/>
      <c r="E121" s="86"/>
      <c r="F121" s="86" t="s">
        <v>121</v>
      </c>
      <c r="G121" s="87" t="s">
        <v>199</v>
      </c>
      <c r="H121" s="87"/>
      <c r="I121" s="87"/>
      <c r="J121" s="88">
        <v>75000</v>
      </c>
    </row>
    <row r="122" spans="1:10">
      <c r="A122" s="86"/>
      <c r="B122" s="87"/>
      <c r="C122" s="87"/>
      <c r="D122" s="87"/>
      <c r="E122" s="86"/>
      <c r="F122" s="86" t="s">
        <v>156</v>
      </c>
      <c r="G122" s="87" t="s">
        <v>208</v>
      </c>
      <c r="H122" s="87"/>
      <c r="I122" s="87"/>
      <c r="J122" s="88">
        <v>120000</v>
      </c>
    </row>
    <row r="123" spans="1:10">
      <c r="A123" s="86"/>
      <c r="B123" s="87"/>
      <c r="C123" s="87"/>
      <c r="D123" s="87"/>
      <c r="E123" s="66">
        <f>J123</f>
        <v>355000</v>
      </c>
      <c r="F123" s="86"/>
      <c r="G123" s="87"/>
      <c r="H123" s="87"/>
      <c r="I123" s="87"/>
      <c r="J123" s="66">
        <f>SUM(J120:J122)</f>
        <v>355000</v>
      </c>
    </row>
    <row r="124" spans="1:10">
      <c r="A124" s="86"/>
      <c r="B124" s="87"/>
      <c r="C124" s="87"/>
      <c r="D124" s="87"/>
      <c r="E124" s="86"/>
      <c r="F124" s="86" t="s">
        <v>209</v>
      </c>
      <c r="G124" s="87" t="s">
        <v>210</v>
      </c>
      <c r="H124" s="87"/>
      <c r="I124" s="87"/>
      <c r="J124" s="88">
        <v>355000</v>
      </c>
    </row>
    <row r="125" spans="1:10">
      <c r="A125" s="50"/>
      <c r="B125" s="51"/>
      <c r="C125" s="51"/>
      <c r="D125" s="51"/>
      <c r="E125" s="50"/>
      <c r="F125" s="50"/>
      <c r="G125" s="51"/>
      <c r="H125" s="51"/>
      <c r="I125" s="51"/>
      <c r="J125" s="50"/>
    </row>
    <row r="126" spans="1:10">
      <c r="A126" s="49" t="s">
        <v>100</v>
      </c>
      <c r="B126" s="51"/>
      <c r="C126" s="51"/>
      <c r="D126" s="51"/>
      <c r="E126" s="91" t="s">
        <v>245</v>
      </c>
      <c r="F126" s="91"/>
      <c r="G126" s="51"/>
      <c r="H126" s="51"/>
      <c r="I126" s="51"/>
      <c r="J126" s="52" t="s">
        <v>197</v>
      </c>
    </row>
    <row r="127" spans="1:10">
      <c r="A127" s="53" t="s">
        <v>94</v>
      </c>
      <c r="B127" s="53" t="s">
        <v>9</v>
      </c>
      <c r="C127" s="53" t="s">
        <v>198</v>
      </c>
      <c r="D127" s="53" t="s">
        <v>97</v>
      </c>
      <c r="E127" s="53" t="s">
        <v>97</v>
      </c>
      <c r="F127" s="53" t="s">
        <v>94</v>
      </c>
      <c r="G127" s="53" t="s">
        <v>9</v>
      </c>
      <c r="H127" s="53" t="s">
        <v>198</v>
      </c>
      <c r="I127" s="53" t="s">
        <v>97</v>
      </c>
      <c r="J127" s="53" t="s">
        <v>97</v>
      </c>
    </row>
    <row r="128" spans="1:10">
      <c r="A128" s="86" t="s">
        <v>123</v>
      </c>
      <c r="B128" s="87" t="s">
        <v>117</v>
      </c>
      <c r="C128" s="87"/>
      <c r="D128" s="87"/>
      <c r="E128" s="88">
        <v>4500</v>
      </c>
      <c r="F128" s="86" t="s">
        <v>202</v>
      </c>
      <c r="G128" s="87" t="s">
        <v>222</v>
      </c>
      <c r="H128" s="87"/>
      <c r="I128" s="87"/>
      <c r="J128" s="88">
        <v>4500</v>
      </c>
    </row>
    <row r="129" spans="1:10">
      <c r="A129" s="86"/>
      <c r="B129" s="87"/>
      <c r="C129" s="87"/>
      <c r="D129" s="87"/>
      <c r="E129" s="66">
        <f>J129</f>
        <v>4500</v>
      </c>
      <c r="F129" s="86"/>
      <c r="G129" s="87"/>
      <c r="H129" s="87"/>
      <c r="I129" s="87"/>
      <c r="J129" s="66">
        <v>4500</v>
      </c>
    </row>
    <row r="130" spans="1:10">
      <c r="A130" s="86" t="s">
        <v>209</v>
      </c>
      <c r="B130" s="87" t="s">
        <v>211</v>
      </c>
      <c r="C130" s="87"/>
      <c r="D130" s="87"/>
      <c r="E130" s="88">
        <v>4500</v>
      </c>
      <c r="F130" s="86"/>
      <c r="G130" s="87"/>
      <c r="H130" s="87"/>
      <c r="I130" s="87"/>
      <c r="J130" s="86"/>
    </row>
    <row r="131" spans="1:10">
      <c r="A131" s="50"/>
      <c r="B131" s="51"/>
      <c r="C131" s="51"/>
      <c r="D131" s="51"/>
      <c r="E131" s="50"/>
      <c r="F131" s="50"/>
      <c r="G131" s="51"/>
      <c r="H131" s="51"/>
      <c r="I131" s="51"/>
      <c r="J131" s="50"/>
    </row>
    <row r="132" spans="1:10">
      <c r="A132" s="49" t="s">
        <v>100</v>
      </c>
      <c r="B132" s="51"/>
      <c r="C132" s="51"/>
      <c r="D132" s="51"/>
      <c r="E132" s="91" t="s">
        <v>246</v>
      </c>
      <c r="F132" s="91"/>
      <c r="G132" s="51"/>
      <c r="H132" s="51"/>
      <c r="I132" s="51"/>
      <c r="J132" s="52" t="s">
        <v>197</v>
      </c>
    </row>
    <row r="133" spans="1:10">
      <c r="A133" s="53" t="s">
        <v>94</v>
      </c>
      <c r="B133" s="53" t="s">
        <v>9</v>
      </c>
      <c r="C133" s="53" t="s">
        <v>198</v>
      </c>
      <c r="D133" s="53" t="s">
        <v>97</v>
      </c>
      <c r="E133" s="53" t="s">
        <v>97</v>
      </c>
      <c r="F133" s="53" t="s">
        <v>94</v>
      </c>
      <c r="G133" s="53" t="s">
        <v>9</v>
      </c>
      <c r="H133" s="53" t="s">
        <v>198</v>
      </c>
      <c r="I133" s="53" t="s">
        <v>97</v>
      </c>
      <c r="J133" s="53" t="s">
        <v>97</v>
      </c>
    </row>
    <row r="134" spans="1:10">
      <c r="A134" s="86" t="s">
        <v>126</v>
      </c>
      <c r="B134" s="87" t="s">
        <v>117</v>
      </c>
      <c r="C134" s="87"/>
      <c r="D134" s="87"/>
      <c r="E134" s="88">
        <v>15000</v>
      </c>
      <c r="F134" s="86" t="s">
        <v>202</v>
      </c>
      <c r="G134" s="87" t="s">
        <v>222</v>
      </c>
      <c r="H134" s="87"/>
      <c r="I134" s="87"/>
      <c r="J134" s="88">
        <v>15000</v>
      </c>
    </row>
    <row r="135" spans="1:10">
      <c r="A135" s="86"/>
      <c r="B135" s="87"/>
      <c r="C135" s="87"/>
      <c r="D135" s="87"/>
      <c r="E135" s="66">
        <v>15000</v>
      </c>
      <c r="F135" s="86"/>
      <c r="G135" s="87"/>
      <c r="H135" s="87"/>
      <c r="I135" s="87"/>
      <c r="J135" s="66">
        <v>15000</v>
      </c>
    </row>
    <row r="136" spans="1:10">
      <c r="A136" s="86" t="s">
        <v>209</v>
      </c>
      <c r="B136" s="87" t="s">
        <v>211</v>
      </c>
      <c r="C136" s="87"/>
      <c r="D136" s="87"/>
      <c r="E136" s="88">
        <v>15000</v>
      </c>
      <c r="F136" s="86"/>
      <c r="G136" s="87"/>
      <c r="H136" s="87"/>
      <c r="I136" s="87"/>
      <c r="J136" s="86"/>
    </row>
    <row r="137" spans="1:10">
      <c r="A137" s="50"/>
      <c r="B137" s="51"/>
      <c r="C137" s="51"/>
      <c r="D137" s="51"/>
      <c r="E137" s="50"/>
      <c r="F137" s="50"/>
      <c r="G137" s="51"/>
      <c r="H137" s="51"/>
      <c r="I137" s="51"/>
      <c r="J137" s="50"/>
    </row>
    <row r="138" spans="1:10">
      <c r="A138" s="49" t="s">
        <v>100</v>
      </c>
      <c r="B138" s="51"/>
      <c r="C138" s="51"/>
      <c r="D138" s="51"/>
      <c r="E138" s="91" t="s">
        <v>247</v>
      </c>
      <c r="F138" s="91"/>
      <c r="G138" s="51"/>
      <c r="H138" s="51"/>
      <c r="I138" s="51"/>
      <c r="J138" s="52" t="s">
        <v>197</v>
      </c>
    </row>
    <row r="139" spans="1:10">
      <c r="A139" s="53" t="s">
        <v>94</v>
      </c>
      <c r="B139" s="53" t="s">
        <v>9</v>
      </c>
      <c r="C139" s="53" t="s">
        <v>198</v>
      </c>
      <c r="D139" s="53" t="s">
        <v>97</v>
      </c>
      <c r="E139" s="53" t="s">
        <v>97</v>
      </c>
      <c r="F139" s="53" t="s">
        <v>94</v>
      </c>
      <c r="G139" s="53" t="s">
        <v>9</v>
      </c>
      <c r="H139" s="53" t="s">
        <v>198</v>
      </c>
      <c r="I139" s="53" t="s">
        <v>97</v>
      </c>
      <c r="J139" s="53" t="s">
        <v>97</v>
      </c>
    </row>
    <row r="140" spans="1:10">
      <c r="A140" s="86" t="s">
        <v>202</v>
      </c>
      <c r="B140" s="87" t="s">
        <v>238</v>
      </c>
      <c r="C140" s="87"/>
      <c r="D140" s="87"/>
      <c r="E140" s="88">
        <v>12000</v>
      </c>
      <c r="F140" s="86" t="s">
        <v>129</v>
      </c>
      <c r="G140" s="87" t="s">
        <v>225</v>
      </c>
      <c r="H140" s="87"/>
      <c r="I140" s="87"/>
      <c r="J140" s="88">
        <v>12000</v>
      </c>
    </row>
    <row r="141" spans="1:10">
      <c r="A141" s="86"/>
      <c r="B141" s="87"/>
      <c r="C141" s="87"/>
      <c r="D141" s="87"/>
      <c r="E141" s="66">
        <v>12000</v>
      </c>
      <c r="F141" s="86"/>
      <c r="G141" s="87"/>
      <c r="H141" s="87"/>
      <c r="I141" s="87"/>
      <c r="J141" s="66">
        <v>12000</v>
      </c>
    </row>
    <row r="142" spans="1:10">
      <c r="A142" s="86"/>
      <c r="B142" s="87"/>
      <c r="C142" s="87"/>
      <c r="D142" s="87"/>
      <c r="E142" s="86"/>
      <c r="F142" s="86" t="s">
        <v>209</v>
      </c>
      <c r="G142" s="87" t="s">
        <v>210</v>
      </c>
      <c r="H142" s="87"/>
      <c r="I142" s="87"/>
      <c r="J142" s="88">
        <v>12000</v>
      </c>
    </row>
    <row r="143" spans="1:10">
      <c r="A143" s="50"/>
      <c r="B143" s="51"/>
      <c r="C143" s="51"/>
      <c r="D143" s="51"/>
      <c r="E143" s="50"/>
      <c r="F143" s="50"/>
      <c r="G143" s="51"/>
      <c r="H143" s="51"/>
      <c r="I143" s="51"/>
      <c r="J143" s="50"/>
    </row>
    <row r="144" spans="1:10">
      <c r="A144" s="49" t="s">
        <v>100</v>
      </c>
      <c r="B144" s="51"/>
      <c r="C144" s="51"/>
      <c r="D144" s="51"/>
      <c r="E144" s="91" t="s">
        <v>248</v>
      </c>
      <c r="F144" s="91"/>
      <c r="G144" s="51"/>
      <c r="H144" s="51"/>
      <c r="I144" s="51"/>
      <c r="J144" s="52" t="s">
        <v>197</v>
      </c>
    </row>
    <row r="145" spans="1:10">
      <c r="A145" s="53" t="s">
        <v>94</v>
      </c>
      <c r="B145" s="53" t="s">
        <v>9</v>
      </c>
      <c r="C145" s="53" t="s">
        <v>198</v>
      </c>
      <c r="D145" s="53" t="s">
        <v>97</v>
      </c>
      <c r="E145" s="53" t="s">
        <v>97</v>
      </c>
      <c r="F145" s="53" t="s">
        <v>94</v>
      </c>
      <c r="G145" s="53" t="s">
        <v>9</v>
      </c>
      <c r="H145" s="53" t="s">
        <v>198</v>
      </c>
      <c r="I145" s="53" t="s">
        <v>97</v>
      </c>
      <c r="J145" s="53" t="s">
        <v>97</v>
      </c>
    </row>
    <row r="146" spans="1:10">
      <c r="A146" s="86" t="s">
        <v>133</v>
      </c>
      <c r="B146" s="87" t="s">
        <v>135</v>
      </c>
      <c r="C146" s="87"/>
      <c r="D146" s="87"/>
      <c r="E146" s="88">
        <v>10000</v>
      </c>
      <c r="F146" s="86" t="s">
        <v>202</v>
      </c>
      <c r="G146" s="87" t="s">
        <v>222</v>
      </c>
      <c r="H146" s="87"/>
      <c r="I146" s="87"/>
      <c r="J146" s="88">
        <v>10000</v>
      </c>
    </row>
    <row r="147" spans="1:10">
      <c r="A147" s="86"/>
      <c r="B147" s="87"/>
      <c r="C147" s="87"/>
      <c r="D147" s="87"/>
      <c r="E147" s="66">
        <v>10000</v>
      </c>
      <c r="F147" s="86"/>
      <c r="G147" s="87"/>
      <c r="H147" s="87"/>
      <c r="I147" s="87"/>
      <c r="J147" s="66">
        <v>10000</v>
      </c>
    </row>
    <row r="148" spans="1:10">
      <c r="A148" s="86" t="s">
        <v>209</v>
      </c>
      <c r="B148" s="87" t="s">
        <v>211</v>
      </c>
      <c r="C148" s="87"/>
      <c r="D148" s="87"/>
      <c r="E148" s="88">
        <v>10000</v>
      </c>
      <c r="F148" s="86"/>
      <c r="G148" s="87"/>
      <c r="H148" s="87"/>
      <c r="I148" s="87"/>
      <c r="J148" s="86"/>
    </row>
    <row r="149" spans="1:10">
      <c r="A149" s="50"/>
      <c r="B149" s="51"/>
      <c r="C149" s="51"/>
      <c r="D149" s="51"/>
      <c r="E149" s="50"/>
      <c r="F149" s="50"/>
      <c r="G149" s="51"/>
      <c r="H149" s="51"/>
      <c r="I149" s="51"/>
      <c r="J149" s="50"/>
    </row>
    <row r="150" spans="1:10">
      <c r="A150" s="49" t="s">
        <v>100</v>
      </c>
      <c r="B150" s="51"/>
      <c r="C150" s="51"/>
      <c r="D150" s="51"/>
      <c r="E150" s="91" t="s">
        <v>249</v>
      </c>
      <c r="F150" s="91"/>
      <c r="G150" s="51"/>
      <c r="H150" s="51"/>
      <c r="I150" s="51"/>
      <c r="J150" s="52" t="s">
        <v>197</v>
      </c>
    </row>
    <row r="151" spans="1:10">
      <c r="A151" s="53" t="s">
        <v>94</v>
      </c>
      <c r="B151" s="53" t="s">
        <v>9</v>
      </c>
      <c r="C151" s="53" t="s">
        <v>198</v>
      </c>
      <c r="D151" s="53" t="s">
        <v>97</v>
      </c>
      <c r="E151" s="53" t="s">
        <v>97</v>
      </c>
      <c r="F151" s="53" t="s">
        <v>94</v>
      </c>
      <c r="G151" s="53" t="s">
        <v>9</v>
      </c>
      <c r="H151" s="53" t="s">
        <v>198</v>
      </c>
      <c r="I151" s="53" t="s">
        <v>97</v>
      </c>
      <c r="J151" s="53" t="s">
        <v>97</v>
      </c>
    </row>
    <row r="152" spans="1:10">
      <c r="A152" s="86" t="s">
        <v>137</v>
      </c>
      <c r="B152" s="87" t="s">
        <v>139</v>
      </c>
      <c r="C152" s="87"/>
      <c r="D152" s="87"/>
      <c r="E152" s="88">
        <v>50000</v>
      </c>
      <c r="F152" s="86" t="s">
        <v>202</v>
      </c>
      <c r="G152" s="87" t="s">
        <v>250</v>
      </c>
      <c r="H152" s="87"/>
      <c r="I152" s="87"/>
      <c r="J152" s="88">
        <v>50000</v>
      </c>
    </row>
    <row r="153" spans="1:10">
      <c r="A153" s="86"/>
      <c r="B153" s="87"/>
      <c r="C153" s="87"/>
      <c r="D153" s="87"/>
      <c r="E153" s="66">
        <v>50000</v>
      </c>
      <c r="F153" s="86"/>
      <c r="G153" s="87"/>
      <c r="H153" s="87"/>
      <c r="I153" s="87"/>
      <c r="J153" s="66">
        <v>50000</v>
      </c>
    </row>
    <row r="154" spans="1:10">
      <c r="A154" s="86" t="s">
        <v>209</v>
      </c>
      <c r="B154" s="87" t="s">
        <v>211</v>
      </c>
      <c r="C154" s="87"/>
      <c r="D154" s="87"/>
      <c r="E154" s="88">
        <v>50000</v>
      </c>
      <c r="F154" s="86"/>
      <c r="G154" s="87"/>
      <c r="H154" s="87"/>
      <c r="I154" s="87"/>
      <c r="J154" s="86"/>
    </row>
    <row r="155" spans="1:10">
      <c r="A155" s="50"/>
      <c r="B155" s="51"/>
      <c r="C155" s="51"/>
      <c r="D155" s="51"/>
      <c r="E155" s="50"/>
      <c r="F155" s="50"/>
      <c r="G155" s="51"/>
      <c r="H155" s="51"/>
      <c r="I155" s="51"/>
      <c r="J155" s="50"/>
    </row>
    <row r="156" spans="1:10">
      <c r="A156" s="49" t="s">
        <v>100</v>
      </c>
      <c r="B156" s="51"/>
      <c r="C156" s="51"/>
      <c r="D156" s="51"/>
      <c r="E156" s="91" t="s">
        <v>251</v>
      </c>
      <c r="F156" s="91"/>
      <c r="G156" s="51"/>
      <c r="H156" s="51"/>
      <c r="I156" s="51"/>
      <c r="J156" s="52" t="s">
        <v>197</v>
      </c>
    </row>
    <row r="157" spans="1:10">
      <c r="A157" s="53" t="s">
        <v>94</v>
      </c>
      <c r="B157" s="53" t="s">
        <v>9</v>
      </c>
      <c r="C157" s="53" t="s">
        <v>198</v>
      </c>
      <c r="D157" s="53" t="s">
        <v>97</v>
      </c>
      <c r="E157" s="53" t="s">
        <v>97</v>
      </c>
      <c r="F157" s="53" t="s">
        <v>94</v>
      </c>
      <c r="G157" s="53" t="s">
        <v>9</v>
      </c>
      <c r="H157" s="53" t="s">
        <v>198</v>
      </c>
      <c r="I157" s="53" t="s">
        <v>97</v>
      </c>
      <c r="J157" s="53" t="s">
        <v>97</v>
      </c>
    </row>
    <row r="158" spans="1:10">
      <c r="A158" s="86" t="s">
        <v>141</v>
      </c>
      <c r="B158" s="87" t="s">
        <v>117</v>
      </c>
      <c r="C158" s="87"/>
      <c r="D158" s="87"/>
      <c r="E158" s="88">
        <v>22000</v>
      </c>
      <c r="F158" s="86" t="s">
        <v>202</v>
      </c>
      <c r="G158" s="87" t="s">
        <v>250</v>
      </c>
      <c r="H158" s="87"/>
      <c r="I158" s="87"/>
      <c r="J158" s="88">
        <v>22000</v>
      </c>
    </row>
    <row r="159" spans="1:10">
      <c r="A159" s="86"/>
      <c r="B159" s="87"/>
      <c r="C159" s="87"/>
      <c r="D159" s="87"/>
      <c r="E159" s="66">
        <v>22000</v>
      </c>
      <c r="F159" s="86"/>
      <c r="G159" s="87"/>
      <c r="H159" s="87"/>
      <c r="I159" s="87"/>
      <c r="J159" s="66">
        <v>22000</v>
      </c>
    </row>
    <row r="160" spans="1:10">
      <c r="A160" s="86" t="s">
        <v>209</v>
      </c>
      <c r="B160" s="87" t="s">
        <v>211</v>
      </c>
      <c r="C160" s="87"/>
      <c r="D160" s="87"/>
      <c r="E160" s="88">
        <v>22000</v>
      </c>
      <c r="F160" s="86"/>
      <c r="G160" s="87"/>
      <c r="H160" s="87"/>
      <c r="I160" s="87"/>
      <c r="J160" s="86"/>
    </row>
    <row r="161" spans="1:10">
      <c r="A161" s="50"/>
      <c r="B161" s="51"/>
      <c r="C161" s="51"/>
      <c r="D161" s="51"/>
      <c r="E161" s="50"/>
      <c r="F161" s="50"/>
      <c r="G161" s="51"/>
      <c r="H161" s="51"/>
      <c r="I161" s="51"/>
      <c r="J161" s="50"/>
    </row>
    <row r="162" spans="1:10">
      <c r="A162" s="49" t="s">
        <v>100</v>
      </c>
      <c r="B162" s="51"/>
      <c r="C162" s="51"/>
      <c r="D162" s="51"/>
      <c r="E162" s="91" t="s">
        <v>252</v>
      </c>
      <c r="F162" s="91"/>
      <c r="G162" s="51"/>
      <c r="H162" s="51"/>
      <c r="I162" s="51"/>
      <c r="J162" s="52" t="s">
        <v>197</v>
      </c>
    </row>
    <row r="163" spans="1:10">
      <c r="A163" s="53" t="s">
        <v>94</v>
      </c>
      <c r="B163" s="53" t="s">
        <v>9</v>
      </c>
      <c r="C163" s="53" t="s">
        <v>198</v>
      </c>
      <c r="D163" s="53" t="s">
        <v>97</v>
      </c>
      <c r="E163" s="53" t="s">
        <v>97</v>
      </c>
      <c r="F163" s="53" t="s">
        <v>94</v>
      </c>
      <c r="G163" s="53" t="s">
        <v>9</v>
      </c>
      <c r="H163" s="53" t="s">
        <v>198</v>
      </c>
      <c r="I163" s="53" t="s">
        <v>97</v>
      </c>
      <c r="J163" s="53" t="s">
        <v>97</v>
      </c>
    </row>
    <row r="164" spans="1:10">
      <c r="A164" s="86" t="s">
        <v>144</v>
      </c>
      <c r="B164" s="87" t="s">
        <v>135</v>
      </c>
      <c r="C164" s="87"/>
      <c r="D164" s="87"/>
      <c r="E164" s="88">
        <v>6000</v>
      </c>
      <c r="F164" s="86" t="s">
        <v>202</v>
      </c>
      <c r="G164" s="87" t="s">
        <v>250</v>
      </c>
      <c r="H164" s="87"/>
      <c r="I164" s="87"/>
      <c r="J164" s="88">
        <v>6000</v>
      </c>
    </row>
    <row r="165" spans="1:10">
      <c r="A165" s="86"/>
      <c r="B165" s="87"/>
      <c r="C165" s="87"/>
      <c r="D165" s="87"/>
      <c r="E165" s="66">
        <v>6000</v>
      </c>
      <c r="F165" s="86"/>
      <c r="G165" s="87"/>
      <c r="H165" s="87"/>
      <c r="I165" s="87"/>
      <c r="J165" s="66">
        <v>6000</v>
      </c>
    </row>
    <row r="166" spans="1:10">
      <c r="A166" s="86" t="s">
        <v>209</v>
      </c>
      <c r="B166" s="87" t="s">
        <v>211</v>
      </c>
      <c r="C166" s="87"/>
      <c r="D166" s="87"/>
      <c r="E166" s="88">
        <v>6000</v>
      </c>
      <c r="F166" s="86"/>
      <c r="G166" s="87"/>
      <c r="H166" s="87"/>
      <c r="I166" s="87"/>
      <c r="J166" s="86"/>
    </row>
    <row r="167" spans="1:10">
      <c r="A167" s="50"/>
      <c r="B167" s="51"/>
      <c r="C167" s="51"/>
      <c r="D167" s="51"/>
      <c r="E167" s="50"/>
      <c r="F167" s="50"/>
      <c r="G167" s="51"/>
      <c r="H167" s="51"/>
      <c r="I167" s="51"/>
      <c r="J167" s="50"/>
    </row>
    <row r="168" spans="1:10">
      <c r="A168" s="49" t="s">
        <v>100</v>
      </c>
      <c r="B168" s="51"/>
      <c r="C168" s="51"/>
      <c r="D168" s="51"/>
      <c r="E168" s="91" t="s">
        <v>253</v>
      </c>
      <c r="F168" s="91"/>
      <c r="G168" s="51"/>
      <c r="H168" s="51"/>
      <c r="I168" s="51"/>
      <c r="J168" s="52" t="s">
        <v>197</v>
      </c>
    </row>
    <row r="169" spans="1:10">
      <c r="A169" s="53" t="s">
        <v>94</v>
      </c>
      <c r="B169" s="53" t="s">
        <v>9</v>
      </c>
      <c r="C169" s="53" t="s">
        <v>198</v>
      </c>
      <c r="D169" s="53" t="s">
        <v>97</v>
      </c>
      <c r="E169" s="53" t="s">
        <v>97</v>
      </c>
      <c r="F169" s="53" t="s">
        <v>94</v>
      </c>
      <c r="G169" s="53" t="s">
        <v>9</v>
      </c>
      <c r="H169" s="53" t="s">
        <v>198</v>
      </c>
      <c r="I169" s="53" t="s">
        <v>97</v>
      </c>
      <c r="J169" s="53" t="s">
        <v>97</v>
      </c>
    </row>
    <row r="170" spans="1:10">
      <c r="A170" s="86" t="s">
        <v>202</v>
      </c>
      <c r="B170" s="87" t="s">
        <v>238</v>
      </c>
      <c r="C170" s="87"/>
      <c r="D170" s="87"/>
      <c r="E170" s="88">
        <v>7000</v>
      </c>
      <c r="F170" s="86" t="s">
        <v>148</v>
      </c>
      <c r="G170" s="87" t="s">
        <v>225</v>
      </c>
      <c r="H170" s="87"/>
      <c r="I170" s="87"/>
      <c r="J170" s="88">
        <v>7000</v>
      </c>
    </row>
    <row r="171" spans="1:10">
      <c r="A171" s="86"/>
      <c r="B171" s="87"/>
      <c r="C171" s="87"/>
      <c r="D171" s="87"/>
      <c r="E171" s="66">
        <v>7000</v>
      </c>
      <c r="F171" s="86"/>
      <c r="G171" s="87"/>
      <c r="H171" s="87"/>
      <c r="I171" s="87"/>
      <c r="J171" s="66">
        <v>7000</v>
      </c>
    </row>
    <row r="172" spans="1:10">
      <c r="A172" s="86"/>
      <c r="B172" s="87"/>
      <c r="C172" s="87"/>
      <c r="D172" s="87"/>
      <c r="E172" s="86"/>
      <c r="F172" s="86" t="s">
        <v>209</v>
      </c>
      <c r="G172" s="87" t="s">
        <v>210</v>
      </c>
      <c r="H172" s="87"/>
      <c r="I172" s="87"/>
      <c r="J172" s="88">
        <v>7000</v>
      </c>
    </row>
    <row r="173" spans="1:10">
      <c r="A173" s="50"/>
      <c r="B173" s="51"/>
      <c r="C173" s="51"/>
      <c r="D173" s="51"/>
      <c r="E173" s="50"/>
      <c r="F173" s="50"/>
      <c r="G173" s="51"/>
      <c r="H173" s="51"/>
      <c r="I173" s="51"/>
      <c r="J173" s="50"/>
    </row>
    <row r="174" spans="1:10">
      <c r="A174" s="49" t="s">
        <v>100</v>
      </c>
      <c r="B174" s="51"/>
      <c r="C174" s="51"/>
      <c r="D174" s="51"/>
      <c r="E174" s="91" t="s">
        <v>254</v>
      </c>
      <c r="F174" s="91"/>
      <c r="G174" s="51"/>
      <c r="H174" s="51"/>
      <c r="I174" s="51"/>
      <c r="J174" s="52" t="s">
        <v>197</v>
      </c>
    </row>
    <row r="175" spans="1:10">
      <c r="A175" s="53" t="s">
        <v>94</v>
      </c>
      <c r="B175" s="53" t="s">
        <v>9</v>
      </c>
      <c r="C175" s="53" t="s">
        <v>198</v>
      </c>
      <c r="D175" s="53" t="s">
        <v>97</v>
      </c>
      <c r="E175" s="53" t="s">
        <v>97</v>
      </c>
      <c r="F175" s="53" t="s">
        <v>94</v>
      </c>
      <c r="G175" s="53" t="s">
        <v>9</v>
      </c>
      <c r="H175" s="53" t="s">
        <v>198</v>
      </c>
      <c r="I175" s="53" t="s">
        <v>97</v>
      </c>
      <c r="J175" s="53" t="s">
        <v>97</v>
      </c>
    </row>
    <row r="176" spans="1:10">
      <c r="A176" s="86" t="s">
        <v>151</v>
      </c>
      <c r="B176" s="87" t="s">
        <v>117</v>
      </c>
      <c r="C176" s="87"/>
      <c r="D176" s="87"/>
      <c r="E176" s="88">
        <v>18000</v>
      </c>
      <c r="F176" s="86" t="s">
        <v>202</v>
      </c>
      <c r="G176" s="87" t="s">
        <v>250</v>
      </c>
      <c r="H176" s="87"/>
      <c r="I176" s="87"/>
      <c r="J176" s="88">
        <v>18000</v>
      </c>
    </row>
    <row r="177" spans="1:10">
      <c r="A177" s="86"/>
      <c r="B177" s="87"/>
      <c r="C177" s="87"/>
      <c r="D177" s="87"/>
      <c r="E177" s="66">
        <v>18000</v>
      </c>
      <c r="F177" s="86"/>
      <c r="G177" s="87"/>
      <c r="H177" s="87"/>
      <c r="I177" s="87"/>
      <c r="J177" s="66">
        <v>18000</v>
      </c>
    </row>
    <row r="178" spans="1:10">
      <c r="A178" s="86" t="s">
        <v>209</v>
      </c>
      <c r="B178" s="87" t="s">
        <v>211</v>
      </c>
      <c r="C178" s="87"/>
      <c r="D178" s="87"/>
      <c r="E178" s="88">
        <v>18000</v>
      </c>
      <c r="F178" s="86"/>
      <c r="G178" s="87"/>
      <c r="H178" s="87"/>
      <c r="I178" s="87"/>
      <c r="J178" s="86"/>
    </row>
    <row r="179" spans="1:10">
      <c r="A179" s="50"/>
      <c r="B179" s="51"/>
      <c r="C179" s="51"/>
      <c r="D179" s="51"/>
      <c r="E179" s="50"/>
      <c r="F179" s="50"/>
      <c r="G179" s="51"/>
      <c r="H179" s="51"/>
      <c r="I179" s="51"/>
      <c r="J179" s="50"/>
    </row>
    <row r="180" spans="1:10">
      <c r="A180" s="49" t="s">
        <v>100</v>
      </c>
      <c r="B180" s="51"/>
      <c r="C180" s="51"/>
      <c r="D180" s="51"/>
      <c r="E180" s="91" t="s">
        <v>255</v>
      </c>
      <c r="F180" s="91"/>
      <c r="G180" s="51"/>
      <c r="H180" s="51"/>
      <c r="I180" s="51"/>
      <c r="J180" s="52" t="s">
        <v>197</v>
      </c>
    </row>
    <row r="181" spans="1:10">
      <c r="A181" s="53" t="s">
        <v>94</v>
      </c>
      <c r="B181" s="53" t="s">
        <v>9</v>
      </c>
      <c r="C181" s="53" t="s">
        <v>198</v>
      </c>
      <c r="D181" s="53" t="s">
        <v>97</v>
      </c>
      <c r="E181" s="53" t="s">
        <v>97</v>
      </c>
      <c r="F181" s="53" t="s">
        <v>94</v>
      </c>
      <c r="G181" s="53" t="s">
        <v>9</v>
      </c>
      <c r="H181" s="53" t="s">
        <v>198</v>
      </c>
      <c r="I181" s="53" t="s">
        <v>97</v>
      </c>
      <c r="J181" s="53" t="s">
        <v>97</v>
      </c>
    </row>
    <row r="182" spans="1:10">
      <c r="A182" s="86" t="s">
        <v>161</v>
      </c>
      <c r="B182" s="87" t="s">
        <v>117</v>
      </c>
      <c r="C182" s="87"/>
      <c r="D182" s="87"/>
      <c r="E182" s="88">
        <v>5500</v>
      </c>
      <c r="F182" s="86" t="s">
        <v>202</v>
      </c>
      <c r="G182" s="87" t="s">
        <v>250</v>
      </c>
      <c r="H182" s="87"/>
      <c r="I182" s="87"/>
      <c r="J182" s="88">
        <v>5500</v>
      </c>
    </row>
    <row r="183" spans="1:10">
      <c r="A183" s="86"/>
      <c r="B183" s="87"/>
      <c r="C183" s="87"/>
      <c r="D183" s="87"/>
      <c r="E183" s="88">
        <v>5500</v>
      </c>
      <c r="F183" s="86"/>
      <c r="G183" s="87"/>
      <c r="H183" s="87"/>
      <c r="I183" s="87"/>
      <c r="J183" s="88">
        <v>5500</v>
      </c>
    </row>
    <row r="184" spans="1:10">
      <c r="A184" s="86" t="s">
        <v>209</v>
      </c>
      <c r="B184" s="87" t="s">
        <v>211</v>
      </c>
      <c r="C184" s="87"/>
      <c r="D184" s="87"/>
      <c r="E184" s="88">
        <v>5500</v>
      </c>
      <c r="F184" s="86"/>
      <c r="G184" s="87"/>
      <c r="H184" s="87"/>
      <c r="I184" s="87"/>
      <c r="J184" s="86"/>
    </row>
    <row r="185" spans="1:10">
      <c r="A185" s="50"/>
      <c r="B185" s="51"/>
      <c r="C185" s="51"/>
      <c r="D185" s="51"/>
      <c r="E185" s="50"/>
      <c r="F185" s="50"/>
      <c r="G185" s="51"/>
      <c r="H185" s="51"/>
      <c r="I185" s="51"/>
      <c r="J185" s="50"/>
    </row>
    <row r="186" spans="1:10">
      <c r="A186" s="49" t="s">
        <v>100</v>
      </c>
      <c r="B186" s="51"/>
      <c r="C186" s="51"/>
      <c r="D186" s="51"/>
      <c r="E186" s="91" t="s">
        <v>256</v>
      </c>
      <c r="F186" s="91"/>
      <c r="G186" s="51"/>
      <c r="H186" s="51"/>
      <c r="I186" s="51"/>
      <c r="J186" s="52" t="s">
        <v>197</v>
      </c>
    </row>
    <row r="187" spans="1:10">
      <c r="A187" s="53" t="s">
        <v>94</v>
      </c>
      <c r="B187" s="53" t="s">
        <v>9</v>
      </c>
      <c r="C187" s="53" t="s">
        <v>198</v>
      </c>
      <c r="D187" s="53" t="s">
        <v>97</v>
      </c>
      <c r="E187" s="53" t="s">
        <v>97</v>
      </c>
      <c r="F187" s="53" t="s">
        <v>94</v>
      </c>
      <c r="G187" s="53" t="s">
        <v>9</v>
      </c>
      <c r="H187" s="53" t="s">
        <v>198</v>
      </c>
      <c r="I187" s="53" t="s">
        <v>97</v>
      </c>
      <c r="J187" s="53" t="s">
        <v>97</v>
      </c>
    </row>
    <row r="188" spans="1:10">
      <c r="A188" s="86" t="s">
        <v>202</v>
      </c>
      <c r="B188" s="87" t="s">
        <v>238</v>
      </c>
      <c r="C188" s="87"/>
      <c r="D188" s="87"/>
      <c r="E188" s="88">
        <v>9000</v>
      </c>
      <c r="F188" s="86" t="s">
        <v>163</v>
      </c>
      <c r="G188" s="87" t="s">
        <v>199</v>
      </c>
      <c r="H188" s="87"/>
      <c r="I188" s="87"/>
      <c r="J188" s="88">
        <v>9000</v>
      </c>
    </row>
    <row r="189" spans="1:10">
      <c r="A189" s="86"/>
      <c r="B189" s="87"/>
      <c r="C189" s="87"/>
      <c r="D189" s="87"/>
      <c r="E189" s="66">
        <v>9000</v>
      </c>
      <c r="F189" s="86"/>
      <c r="G189" s="87"/>
      <c r="H189" s="87"/>
      <c r="I189" s="87"/>
      <c r="J189" s="66">
        <v>9000</v>
      </c>
    </row>
    <row r="190" spans="1:10">
      <c r="A190" s="86"/>
      <c r="B190" s="87"/>
      <c r="C190" s="87"/>
      <c r="D190" s="87"/>
      <c r="E190" s="86"/>
      <c r="F190" s="86" t="s">
        <v>209</v>
      </c>
      <c r="G190" s="87" t="s">
        <v>210</v>
      </c>
      <c r="H190" s="87"/>
      <c r="I190" s="87"/>
      <c r="J190" s="88">
        <v>9000</v>
      </c>
    </row>
    <row r="191" spans="1:10">
      <c r="A191" s="50"/>
      <c r="B191" s="51"/>
      <c r="C191" s="51"/>
      <c r="D191" s="51"/>
      <c r="E191" s="50"/>
      <c r="F191" s="50"/>
      <c r="G191" s="51"/>
      <c r="H191" s="51"/>
      <c r="I191" s="51"/>
      <c r="J191" s="50"/>
    </row>
    <row r="192" spans="1:10">
      <c r="A192" s="49" t="s">
        <v>100</v>
      </c>
      <c r="B192" s="51"/>
      <c r="C192" s="51"/>
      <c r="D192" s="51"/>
      <c r="E192" s="91" t="s">
        <v>257</v>
      </c>
      <c r="F192" s="91"/>
      <c r="G192" s="51"/>
      <c r="H192" s="51"/>
      <c r="I192" s="51"/>
      <c r="J192" s="52" t="s">
        <v>197</v>
      </c>
    </row>
    <row r="193" spans="1:10">
      <c r="A193" s="53" t="s">
        <v>94</v>
      </c>
      <c r="B193" s="53" t="s">
        <v>9</v>
      </c>
      <c r="C193" s="53" t="s">
        <v>198</v>
      </c>
      <c r="D193" s="53" t="s">
        <v>97</v>
      </c>
      <c r="E193" s="53" t="s">
        <v>97</v>
      </c>
      <c r="F193" s="53" t="s">
        <v>94</v>
      </c>
      <c r="G193" s="53" t="s">
        <v>9</v>
      </c>
      <c r="H193" s="53" t="s">
        <v>198</v>
      </c>
      <c r="I193" s="53" t="s">
        <v>97</v>
      </c>
      <c r="J193" s="53" t="s">
        <v>97</v>
      </c>
    </row>
    <row r="194" spans="1:10">
      <c r="A194" s="86" t="s">
        <v>168</v>
      </c>
      <c r="B194" s="87" t="s">
        <v>117</v>
      </c>
      <c r="C194" s="87"/>
      <c r="D194" s="87"/>
      <c r="E194" s="88">
        <v>12000</v>
      </c>
      <c r="F194" s="86" t="s">
        <v>202</v>
      </c>
      <c r="G194" s="87" t="s">
        <v>250</v>
      </c>
      <c r="H194" s="87"/>
      <c r="I194" s="87"/>
      <c r="J194" s="88">
        <v>12000</v>
      </c>
    </row>
    <row r="195" spans="1:10">
      <c r="A195" s="86"/>
      <c r="B195" s="87"/>
      <c r="C195" s="87"/>
      <c r="D195" s="87"/>
      <c r="E195" s="66">
        <v>12000</v>
      </c>
      <c r="F195" s="86"/>
      <c r="G195" s="87"/>
      <c r="H195" s="87"/>
      <c r="I195" s="87"/>
      <c r="J195" s="66">
        <v>12000</v>
      </c>
    </row>
    <row r="196" spans="1:10">
      <c r="A196" s="86" t="s">
        <v>209</v>
      </c>
      <c r="B196" s="87" t="s">
        <v>211</v>
      </c>
      <c r="C196" s="87"/>
      <c r="D196" s="87"/>
      <c r="E196" s="88">
        <v>12000</v>
      </c>
      <c r="F196" s="86"/>
      <c r="G196" s="87"/>
      <c r="H196" s="87"/>
      <c r="I196" s="87"/>
      <c r="J196" s="86"/>
    </row>
    <row r="197" spans="1:10">
      <c r="A197" s="50"/>
      <c r="B197" s="51"/>
      <c r="C197" s="51"/>
      <c r="D197" s="51"/>
      <c r="E197" s="50"/>
      <c r="F197" s="50"/>
      <c r="G197" s="51"/>
      <c r="H197" s="51"/>
      <c r="I197" s="51"/>
      <c r="J197" s="50"/>
    </row>
    <row r="198" spans="1:10">
      <c r="A198" s="49" t="s">
        <v>100</v>
      </c>
      <c r="B198" s="51"/>
      <c r="C198" s="51"/>
      <c r="D198" s="51"/>
      <c r="E198" s="91" t="s">
        <v>258</v>
      </c>
      <c r="F198" s="91"/>
      <c r="G198" s="51"/>
      <c r="H198" s="51"/>
      <c r="I198" s="51"/>
      <c r="J198" s="52" t="s">
        <v>197</v>
      </c>
    </row>
    <row r="199" spans="1:10">
      <c r="A199" s="53" t="s">
        <v>94</v>
      </c>
      <c r="B199" s="53" t="s">
        <v>9</v>
      </c>
      <c r="C199" s="53" t="s">
        <v>198</v>
      </c>
      <c r="D199" s="53" t="s">
        <v>97</v>
      </c>
      <c r="E199" s="53" t="s">
        <v>97</v>
      </c>
      <c r="F199" s="53" t="s">
        <v>94</v>
      </c>
      <c r="G199" s="53" t="s">
        <v>9</v>
      </c>
      <c r="H199" s="53" t="s">
        <v>198</v>
      </c>
      <c r="I199" s="53" t="s">
        <v>97</v>
      </c>
      <c r="J199" s="53" t="s">
        <v>97</v>
      </c>
    </row>
    <row r="200" spans="1:10">
      <c r="A200" s="86" t="s">
        <v>171</v>
      </c>
      <c r="B200" s="87" t="s">
        <v>173</v>
      </c>
      <c r="C200" s="87"/>
      <c r="D200" s="88">
        <v>6000</v>
      </c>
      <c r="E200" s="86"/>
      <c r="F200" s="86" t="s">
        <v>202</v>
      </c>
      <c r="G200" s="87" t="s">
        <v>250</v>
      </c>
      <c r="H200" s="87"/>
      <c r="I200" s="87"/>
      <c r="J200" s="88">
        <v>6000</v>
      </c>
    </row>
    <row r="201" spans="1:10">
      <c r="A201" s="86"/>
      <c r="B201" s="87"/>
      <c r="C201" s="87"/>
      <c r="D201" s="66">
        <v>6000</v>
      </c>
      <c r="E201" s="86"/>
      <c r="F201" s="86"/>
      <c r="G201" s="87"/>
      <c r="H201" s="87"/>
      <c r="I201" s="87"/>
      <c r="J201" s="66">
        <v>6000</v>
      </c>
    </row>
    <row r="202" spans="1:10">
      <c r="A202" s="86" t="s">
        <v>209</v>
      </c>
      <c r="B202" s="87" t="s">
        <v>211</v>
      </c>
      <c r="C202" s="87"/>
      <c r="D202" s="88">
        <v>6000</v>
      </c>
      <c r="E202" s="86"/>
      <c r="F202" s="86"/>
      <c r="G202" s="87"/>
      <c r="H202" s="87"/>
      <c r="I202" s="87"/>
      <c r="J202" s="86"/>
    </row>
    <row r="203" spans="1:10">
      <c r="A203" s="50"/>
      <c r="B203" s="51"/>
      <c r="C203" s="51"/>
      <c r="D203" s="51"/>
      <c r="E203" s="50"/>
      <c r="F203" s="50"/>
      <c r="G203" s="51"/>
      <c r="H203" s="51"/>
      <c r="I203" s="51"/>
      <c r="J203" s="50"/>
    </row>
    <row r="204" spans="1:10">
      <c r="A204" s="49" t="s">
        <v>100</v>
      </c>
      <c r="B204" s="51"/>
      <c r="C204" s="51"/>
      <c r="D204" s="51"/>
      <c r="E204" s="91" t="s">
        <v>259</v>
      </c>
      <c r="F204" s="91"/>
      <c r="G204" s="51"/>
      <c r="H204" s="51"/>
      <c r="I204" s="51"/>
      <c r="J204" s="52" t="s">
        <v>197</v>
      </c>
    </row>
    <row r="205" spans="1:10">
      <c r="A205" s="53" t="s">
        <v>94</v>
      </c>
      <c r="B205" s="53" t="s">
        <v>9</v>
      </c>
      <c r="C205" s="53" t="s">
        <v>198</v>
      </c>
      <c r="D205" s="53" t="s">
        <v>97</v>
      </c>
      <c r="E205" s="53" t="s">
        <v>97</v>
      </c>
      <c r="F205" s="53" t="s">
        <v>94</v>
      </c>
      <c r="G205" s="53" t="s">
        <v>9</v>
      </c>
      <c r="H205" s="53" t="s">
        <v>198</v>
      </c>
      <c r="I205" s="53" t="s">
        <v>97</v>
      </c>
      <c r="J205" s="53" t="s">
        <v>97</v>
      </c>
    </row>
    <row r="206" spans="1:10">
      <c r="A206" s="86" t="s">
        <v>175</v>
      </c>
      <c r="B206" s="87" t="s">
        <v>117</v>
      </c>
      <c r="C206" s="87"/>
      <c r="D206" s="88">
        <v>4000</v>
      </c>
      <c r="E206" s="86"/>
      <c r="F206" s="86" t="s">
        <v>202</v>
      </c>
      <c r="G206" s="87" t="s">
        <v>250</v>
      </c>
      <c r="H206" s="87"/>
      <c r="I206" s="87"/>
      <c r="J206" s="88">
        <v>4000</v>
      </c>
    </row>
    <row r="207" spans="1:10">
      <c r="A207" s="86"/>
      <c r="B207" s="87"/>
      <c r="C207" s="87"/>
      <c r="D207" s="66">
        <v>4000</v>
      </c>
      <c r="E207" s="86"/>
      <c r="F207" s="86"/>
      <c r="G207" s="87"/>
      <c r="H207" s="87"/>
      <c r="I207" s="87"/>
      <c r="J207" s="66">
        <v>4000</v>
      </c>
    </row>
    <row r="208" spans="1:10">
      <c r="A208" s="86" t="s">
        <v>209</v>
      </c>
      <c r="B208" s="87" t="s">
        <v>211</v>
      </c>
      <c r="C208" s="87"/>
      <c r="D208" s="88">
        <v>4000</v>
      </c>
      <c r="E208" s="86"/>
      <c r="F208" s="86"/>
      <c r="G208" s="87"/>
      <c r="H208" s="87"/>
      <c r="I208" s="87"/>
      <c r="J208" s="86"/>
    </row>
    <row r="209" spans="1:10">
      <c r="A209" s="50"/>
      <c r="B209" s="51"/>
      <c r="C209" s="51"/>
      <c r="D209" s="51"/>
      <c r="E209" s="50"/>
      <c r="F209" s="50"/>
      <c r="G209" s="51"/>
      <c r="H209" s="51"/>
      <c r="I209" s="51"/>
      <c r="J209" s="50"/>
    </row>
    <row r="210" spans="1:10">
      <c r="A210" s="49" t="s">
        <v>100</v>
      </c>
      <c r="B210" s="51"/>
      <c r="C210" s="51"/>
      <c r="D210" s="51"/>
      <c r="E210" s="91" t="s">
        <v>260</v>
      </c>
      <c r="F210" s="91"/>
      <c r="G210" s="51"/>
      <c r="H210" s="51"/>
      <c r="I210" s="51"/>
      <c r="J210" s="52" t="s">
        <v>197</v>
      </c>
    </row>
    <row r="211" spans="1:10">
      <c r="A211" s="53" t="s">
        <v>94</v>
      </c>
      <c r="B211" s="53" t="s">
        <v>9</v>
      </c>
      <c r="C211" s="53" t="s">
        <v>198</v>
      </c>
      <c r="D211" s="53" t="s">
        <v>97</v>
      </c>
      <c r="E211" s="53" t="s">
        <v>97</v>
      </c>
      <c r="F211" s="53" t="s">
        <v>94</v>
      </c>
      <c r="G211" s="53" t="s">
        <v>9</v>
      </c>
      <c r="H211" s="53" t="s">
        <v>198</v>
      </c>
      <c r="I211" s="53" t="s">
        <v>97</v>
      </c>
      <c r="J211" s="53" t="s">
        <v>97</v>
      </c>
    </row>
    <row r="212" spans="1:10">
      <c r="A212" s="86" t="s">
        <v>202</v>
      </c>
      <c r="B212" s="87" t="s">
        <v>238</v>
      </c>
      <c r="C212" s="87"/>
      <c r="D212" s="87"/>
      <c r="E212" s="88">
        <v>3000</v>
      </c>
      <c r="F212" s="86" t="s">
        <v>178</v>
      </c>
      <c r="G212" s="87" t="s">
        <v>200</v>
      </c>
      <c r="H212" s="87"/>
      <c r="I212" s="87"/>
      <c r="J212" s="88">
        <v>3000</v>
      </c>
    </row>
    <row r="213" spans="1:10">
      <c r="A213" s="86"/>
      <c r="B213" s="87"/>
      <c r="C213" s="87"/>
      <c r="D213" s="87"/>
      <c r="E213" s="66">
        <v>3000</v>
      </c>
      <c r="F213" s="86"/>
      <c r="G213" s="87"/>
      <c r="H213" s="87"/>
      <c r="I213" s="87"/>
      <c r="J213" s="66">
        <v>3000</v>
      </c>
    </row>
    <row r="214" spans="1:10">
      <c r="A214" s="86"/>
      <c r="B214" s="87"/>
      <c r="C214" s="87"/>
      <c r="D214" s="87"/>
      <c r="E214" s="86"/>
      <c r="F214" s="86" t="s">
        <v>209</v>
      </c>
      <c r="G214" s="87" t="s">
        <v>210</v>
      </c>
      <c r="H214" s="87"/>
      <c r="I214" s="87"/>
      <c r="J214" s="88">
        <v>3000</v>
      </c>
    </row>
    <row r="215" spans="1:10">
      <c r="A215" s="50"/>
      <c r="B215" s="51"/>
      <c r="C215" s="51"/>
      <c r="D215" s="51"/>
      <c r="E215" s="50"/>
      <c r="F215" s="50"/>
      <c r="G215" s="51"/>
      <c r="H215" s="51"/>
      <c r="I215" s="51"/>
      <c r="J215" s="50"/>
    </row>
    <row r="216" spans="1:10">
      <c r="A216" s="49" t="s">
        <v>100</v>
      </c>
      <c r="B216" s="51"/>
      <c r="C216" s="51"/>
      <c r="D216" s="51"/>
      <c r="E216" s="91" t="s">
        <v>261</v>
      </c>
      <c r="F216" s="91"/>
      <c r="G216" s="51"/>
      <c r="H216" s="51"/>
      <c r="I216" s="51"/>
      <c r="J216" s="52" t="s">
        <v>197</v>
      </c>
    </row>
    <row r="217" spans="1:10">
      <c r="A217" s="53" t="s">
        <v>94</v>
      </c>
      <c r="B217" s="53" t="s">
        <v>9</v>
      </c>
      <c r="C217" s="53" t="s">
        <v>198</v>
      </c>
      <c r="D217" s="53" t="s">
        <v>97</v>
      </c>
      <c r="E217" s="53" t="s">
        <v>97</v>
      </c>
      <c r="F217" s="53" t="s">
        <v>94</v>
      </c>
      <c r="G217" s="53" t="s">
        <v>9</v>
      </c>
      <c r="H217" s="53" t="s">
        <v>198</v>
      </c>
      <c r="I217" s="53" t="s">
        <v>97</v>
      </c>
      <c r="J217" s="53" t="s">
        <v>97</v>
      </c>
    </row>
    <row r="218" spans="1:10">
      <c r="A218" s="86" t="s">
        <v>183</v>
      </c>
      <c r="B218" s="87" t="s">
        <v>117</v>
      </c>
      <c r="C218" s="87"/>
      <c r="D218" s="87"/>
      <c r="E218" s="88">
        <v>8500</v>
      </c>
      <c r="F218" s="86" t="s">
        <v>202</v>
      </c>
      <c r="G218" s="87" t="s">
        <v>250</v>
      </c>
      <c r="H218" s="87"/>
      <c r="I218" s="87"/>
      <c r="J218" s="88">
        <v>8500</v>
      </c>
    </row>
    <row r="219" spans="1:10">
      <c r="A219" s="86"/>
      <c r="B219" s="87"/>
      <c r="C219" s="87"/>
      <c r="D219" s="87"/>
      <c r="E219" s="66">
        <v>8500</v>
      </c>
      <c r="F219" s="86"/>
      <c r="G219" s="87"/>
      <c r="H219" s="87"/>
      <c r="I219" s="87"/>
      <c r="J219" s="66">
        <v>8500</v>
      </c>
    </row>
    <row r="220" spans="1:10">
      <c r="A220" s="86" t="s">
        <v>209</v>
      </c>
      <c r="B220" s="87" t="s">
        <v>211</v>
      </c>
      <c r="C220" s="87"/>
      <c r="D220" s="87"/>
      <c r="E220" s="88">
        <v>8500</v>
      </c>
      <c r="F220" s="86"/>
      <c r="G220" s="87"/>
      <c r="H220" s="87"/>
      <c r="I220" s="87"/>
      <c r="J220" s="86"/>
    </row>
    <row r="221" spans="1:10">
      <c r="A221" s="50"/>
      <c r="B221" s="51"/>
      <c r="C221" s="51"/>
      <c r="D221" s="51"/>
      <c r="E221" s="50"/>
      <c r="F221" s="50"/>
      <c r="G221" s="51"/>
      <c r="H221" s="51"/>
      <c r="I221" s="51"/>
      <c r="J221" s="50"/>
    </row>
    <row r="222" spans="1:10">
      <c r="A222" s="49" t="s">
        <v>100</v>
      </c>
      <c r="B222" s="51"/>
      <c r="C222" s="51"/>
      <c r="D222" s="51"/>
      <c r="E222" s="91" t="s">
        <v>187</v>
      </c>
      <c r="F222" s="91"/>
      <c r="G222" s="51"/>
      <c r="H222" s="51"/>
      <c r="I222" s="51"/>
      <c r="J222" s="52" t="s">
        <v>197</v>
      </c>
    </row>
    <row r="223" spans="1:10">
      <c r="A223" s="53" t="s">
        <v>94</v>
      </c>
      <c r="B223" s="53" t="s">
        <v>9</v>
      </c>
      <c r="C223" s="53" t="s">
        <v>198</v>
      </c>
      <c r="D223" s="53" t="s">
        <v>97</v>
      </c>
      <c r="E223" s="53" t="s">
        <v>97</v>
      </c>
      <c r="F223" s="53" t="s">
        <v>94</v>
      </c>
      <c r="G223" s="53" t="s">
        <v>9</v>
      </c>
      <c r="H223" s="53" t="s">
        <v>198</v>
      </c>
      <c r="I223" s="53" t="s">
        <v>97</v>
      </c>
      <c r="J223" s="53" t="s">
        <v>97</v>
      </c>
    </row>
    <row r="224" spans="1:10">
      <c r="A224" s="86" t="s">
        <v>186</v>
      </c>
      <c r="B224" s="87" t="s">
        <v>117</v>
      </c>
      <c r="C224" s="87"/>
      <c r="D224" s="87"/>
      <c r="E224" s="88">
        <v>2500</v>
      </c>
      <c r="F224" s="86" t="s">
        <v>202</v>
      </c>
      <c r="G224" s="87" t="s">
        <v>250</v>
      </c>
      <c r="H224" s="87"/>
      <c r="I224" s="87"/>
      <c r="J224" s="88">
        <v>2500</v>
      </c>
    </row>
    <row r="225" spans="1:10">
      <c r="A225" s="86"/>
      <c r="B225" s="87"/>
      <c r="C225" s="87"/>
      <c r="D225" s="87"/>
      <c r="E225" s="66">
        <v>2500</v>
      </c>
      <c r="F225" s="86"/>
      <c r="G225" s="87"/>
      <c r="H225" s="87"/>
      <c r="I225" s="87"/>
      <c r="J225" s="66">
        <v>2500</v>
      </c>
    </row>
    <row r="226" spans="1:10">
      <c r="A226" s="86" t="s">
        <v>209</v>
      </c>
      <c r="B226" s="87" t="s">
        <v>211</v>
      </c>
      <c r="C226" s="87"/>
      <c r="D226" s="87"/>
      <c r="E226" s="88">
        <v>2500</v>
      </c>
      <c r="F226" s="86"/>
      <c r="G226" s="87"/>
      <c r="H226" s="87"/>
      <c r="I226" s="87"/>
      <c r="J226" s="86"/>
    </row>
    <row r="227" spans="1:10">
      <c r="A227" s="50"/>
      <c r="B227" s="51"/>
      <c r="C227" s="51"/>
      <c r="D227" s="51"/>
      <c r="E227" s="50"/>
      <c r="F227" s="50"/>
      <c r="G227" s="51"/>
      <c r="H227" s="51"/>
      <c r="I227" s="51"/>
      <c r="J227" s="50"/>
    </row>
    <row r="228" spans="1:10">
      <c r="A228" s="49" t="s">
        <v>100</v>
      </c>
      <c r="B228" s="51"/>
      <c r="C228" s="51"/>
      <c r="D228" s="51"/>
      <c r="E228" s="91" t="s">
        <v>262</v>
      </c>
      <c r="F228" s="91"/>
      <c r="G228" s="51"/>
      <c r="H228" s="51"/>
      <c r="I228" s="51"/>
      <c r="J228" s="52" t="s">
        <v>197</v>
      </c>
    </row>
    <row r="229" spans="1:10">
      <c r="A229" s="53" t="s">
        <v>94</v>
      </c>
      <c r="B229" s="53" t="s">
        <v>9</v>
      </c>
      <c r="C229" s="53" t="s">
        <v>198</v>
      </c>
      <c r="D229" s="53" t="s">
        <v>97</v>
      </c>
      <c r="E229" s="53" t="s">
        <v>97</v>
      </c>
      <c r="F229" s="53" t="s">
        <v>94</v>
      </c>
      <c r="G229" s="53" t="s">
        <v>9</v>
      </c>
      <c r="H229" s="53" t="s">
        <v>198</v>
      </c>
      <c r="I229" s="53" t="s">
        <v>97</v>
      </c>
      <c r="J229" s="53" t="s">
        <v>97</v>
      </c>
    </row>
    <row r="230" spans="1:10">
      <c r="A230" s="86" t="s">
        <v>190</v>
      </c>
      <c r="B230" s="87" t="s">
        <v>139</v>
      </c>
      <c r="C230" s="87"/>
      <c r="D230" s="87"/>
      <c r="E230" s="88">
        <v>5000</v>
      </c>
      <c r="F230" s="86" t="s">
        <v>202</v>
      </c>
      <c r="G230" s="87" t="s">
        <v>250</v>
      </c>
      <c r="H230" s="87"/>
      <c r="I230" s="87"/>
      <c r="J230" s="88">
        <v>5000</v>
      </c>
    </row>
    <row r="231" spans="1:10">
      <c r="A231" s="86"/>
      <c r="B231" s="87"/>
      <c r="C231" s="87"/>
      <c r="D231" s="87"/>
      <c r="E231" s="66">
        <v>5000</v>
      </c>
      <c r="F231" s="86"/>
      <c r="G231" s="87"/>
      <c r="H231" s="87"/>
      <c r="I231" s="87"/>
      <c r="J231" s="66">
        <v>5000</v>
      </c>
    </row>
    <row r="232" spans="1:10">
      <c r="A232" s="86" t="s">
        <v>209</v>
      </c>
      <c r="B232" s="87" t="s">
        <v>211</v>
      </c>
      <c r="C232" s="87"/>
      <c r="D232" s="87"/>
      <c r="E232" s="88">
        <v>5000</v>
      </c>
      <c r="F232" s="86"/>
      <c r="G232" s="87"/>
      <c r="H232" s="87"/>
      <c r="I232" s="87"/>
      <c r="J232" s="86"/>
    </row>
  </sheetData>
  <mergeCells count="33">
    <mergeCell ref="A1:J1"/>
    <mergeCell ref="E3:F3"/>
    <mergeCell ref="E16:F16"/>
    <mergeCell ref="E35:F35"/>
    <mergeCell ref="E46:F46"/>
    <mergeCell ref="E52:F52"/>
    <mergeCell ref="E59:F59"/>
    <mergeCell ref="E65:F65"/>
    <mergeCell ref="E71:F71"/>
    <mergeCell ref="E80:F80"/>
    <mergeCell ref="E87:F87"/>
    <mergeCell ref="E93:F93"/>
    <mergeCell ref="E102:F102"/>
    <mergeCell ref="E109:F109"/>
    <mergeCell ref="E118:F118"/>
    <mergeCell ref="E126:F126"/>
    <mergeCell ref="E132:F132"/>
    <mergeCell ref="E138:F138"/>
    <mergeCell ref="E144:F144"/>
    <mergeCell ref="E150:F150"/>
    <mergeCell ref="E156:F156"/>
    <mergeCell ref="E162:F162"/>
    <mergeCell ref="E168:F168"/>
    <mergeCell ref="E174:F174"/>
    <mergeCell ref="E180:F180"/>
    <mergeCell ref="E186:F186"/>
    <mergeCell ref="E192:F192"/>
    <mergeCell ref="E198:F198"/>
    <mergeCell ref="E204:F204"/>
    <mergeCell ref="E210:F210"/>
    <mergeCell ref="E216:F216"/>
    <mergeCell ref="E222:F222"/>
    <mergeCell ref="E228:F228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D3" sqref="D3"/>
    </sheetView>
  </sheetViews>
  <sheetFormatPr defaultColWidth="9" defaultRowHeight="15" outlineLevelCol="5"/>
  <cols>
    <col min="1" max="1" width="15.4285714285714" customWidth="1"/>
    <col min="2" max="2" width="48.7142857142857" customWidth="1"/>
    <col min="3" max="3" width="26.5714285714286" customWidth="1"/>
    <col min="4" max="4" width="27" customWidth="1"/>
  </cols>
  <sheetData>
    <row r="1" ht="18.75" spans="1:6">
      <c r="A1" s="83" t="s">
        <v>263</v>
      </c>
      <c r="B1" s="83"/>
      <c r="C1" s="83"/>
      <c r="D1" s="83"/>
    </row>
    <row r="2" spans="1:6">
      <c r="A2" s="50"/>
      <c r="B2" s="51"/>
      <c r="C2" s="50"/>
      <c r="D2" s="50"/>
    </row>
    <row r="3" spans="1:6">
      <c r="A3" s="53" t="s">
        <v>264</v>
      </c>
      <c r="B3" s="53" t="s">
        <v>9</v>
      </c>
      <c r="C3" s="53" t="s">
        <v>265</v>
      </c>
      <c r="D3" s="53" t="s">
        <v>266</v>
      </c>
    </row>
    <row r="4" spans="1:6">
      <c r="A4" s="86">
        <v>1</v>
      </c>
      <c r="B4" s="87" t="s">
        <v>196</v>
      </c>
      <c r="C4" s="86"/>
      <c r="D4" s="88">
        <v>450000</v>
      </c>
    </row>
    <row r="5" spans="1:6">
      <c r="A5" s="86">
        <v>2</v>
      </c>
      <c r="B5" s="87" t="s">
        <v>99</v>
      </c>
      <c r="C5" s="88">
        <v>137000</v>
      </c>
      <c r="D5" s="86"/>
    </row>
    <row r="6" spans="1:6">
      <c r="A6" s="86">
        <v>3</v>
      </c>
      <c r="B6" s="87" t="s">
        <v>101</v>
      </c>
      <c r="C6" s="88">
        <v>42000</v>
      </c>
      <c r="D6" s="86"/>
    </row>
    <row r="7" spans="1:6">
      <c r="A7" s="86">
        <v>4</v>
      </c>
      <c r="B7" s="87" t="s">
        <v>267</v>
      </c>
      <c r="C7" s="88">
        <v>90000</v>
      </c>
      <c r="D7" s="86"/>
    </row>
    <row r="8" spans="1:6">
      <c r="A8" s="86">
        <v>5</v>
      </c>
      <c r="B8" s="87" t="s">
        <v>103</v>
      </c>
      <c r="C8" s="88">
        <v>85000</v>
      </c>
      <c r="D8" s="86"/>
    </row>
    <row r="9" spans="1:6">
      <c r="A9" s="86">
        <v>6</v>
      </c>
      <c r="B9" s="87" t="s">
        <v>104</v>
      </c>
      <c r="C9" s="88">
        <v>200000</v>
      </c>
      <c r="D9" s="86"/>
      <c r="F9" s="89"/>
    </row>
    <row r="10" spans="1:6">
      <c r="A10" s="86">
        <v>7</v>
      </c>
      <c r="B10" s="87" t="s">
        <v>105</v>
      </c>
      <c r="C10" s="88">
        <v>40000</v>
      </c>
      <c r="D10" s="86"/>
    </row>
    <row r="11" spans="1:6">
      <c r="A11" s="86">
        <v>8</v>
      </c>
      <c r="B11" s="87" t="s">
        <v>106</v>
      </c>
      <c r="C11" s="88">
        <v>4000</v>
      </c>
      <c r="D11" s="86"/>
    </row>
    <row r="12" spans="1:6">
      <c r="A12" s="86">
        <v>9</v>
      </c>
      <c r="B12" s="87" t="s">
        <v>107</v>
      </c>
      <c r="C12" s="88">
        <v>55000</v>
      </c>
      <c r="D12" s="86"/>
    </row>
    <row r="13" spans="1:6">
      <c r="A13" s="86">
        <v>10</v>
      </c>
      <c r="B13" s="87" t="s">
        <v>268</v>
      </c>
      <c r="C13" s="86"/>
      <c r="D13" s="88">
        <v>100000</v>
      </c>
    </row>
    <row r="14" spans="1:6">
      <c r="A14" s="86">
        <v>11</v>
      </c>
      <c r="B14" s="87" t="s">
        <v>130</v>
      </c>
      <c r="C14" s="88"/>
      <c r="D14" s="88">
        <v>21000</v>
      </c>
    </row>
    <row r="15" spans="1:6">
      <c r="A15" s="86">
        <v>12</v>
      </c>
      <c r="B15" s="87" t="s">
        <v>241</v>
      </c>
      <c r="C15" s="86"/>
      <c r="D15" s="88">
        <v>125000</v>
      </c>
    </row>
    <row r="16" spans="1:6">
      <c r="A16" s="86">
        <v>13</v>
      </c>
      <c r="B16" s="87" t="s">
        <v>114</v>
      </c>
      <c r="C16" s="88">
        <v>260000</v>
      </c>
      <c r="D16" s="86"/>
    </row>
    <row r="17" spans="1:4">
      <c r="A17" s="86">
        <v>14</v>
      </c>
      <c r="B17" s="87" t="s">
        <v>269</v>
      </c>
      <c r="C17" s="86"/>
      <c r="D17" s="88">
        <v>355000</v>
      </c>
    </row>
    <row r="18" spans="1:4">
      <c r="A18" s="86">
        <v>15</v>
      </c>
      <c r="B18" s="87" t="s">
        <v>124</v>
      </c>
      <c r="C18" s="88">
        <v>4500</v>
      </c>
      <c r="D18" s="86"/>
    </row>
    <row r="19" spans="1:4">
      <c r="A19" s="86">
        <v>16</v>
      </c>
      <c r="B19" s="87" t="s">
        <v>127</v>
      </c>
      <c r="C19" s="88">
        <v>15000</v>
      </c>
      <c r="D19" s="86"/>
    </row>
    <row r="20" spans="1:4">
      <c r="A20" s="86">
        <v>17</v>
      </c>
      <c r="B20" s="87" t="s">
        <v>270</v>
      </c>
      <c r="C20" s="86"/>
      <c r="D20" s="88">
        <v>12000</v>
      </c>
    </row>
    <row r="21" spans="1:4">
      <c r="A21" s="86">
        <v>18</v>
      </c>
      <c r="B21" s="87" t="s">
        <v>134</v>
      </c>
      <c r="C21" s="88">
        <v>10000</v>
      </c>
      <c r="D21" s="86"/>
    </row>
    <row r="22" spans="1:4">
      <c r="A22" s="86">
        <v>19</v>
      </c>
      <c r="B22" s="87" t="s">
        <v>138</v>
      </c>
      <c r="C22" s="88">
        <v>50000</v>
      </c>
      <c r="D22" s="86"/>
    </row>
    <row r="23" spans="1:4">
      <c r="A23" s="86">
        <v>20</v>
      </c>
      <c r="B23" s="87" t="s">
        <v>271</v>
      </c>
      <c r="C23" s="88">
        <v>22000</v>
      </c>
      <c r="D23" s="86"/>
    </row>
    <row r="24" spans="1:4">
      <c r="A24" s="86">
        <v>21</v>
      </c>
      <c r="B24" s="87" t="s">
        <v>272</v>
      </c>
      <c r="C24" s="88">
        <v>6000</v>
      </c>
      <c r="D24" s="86"/>
    </row>
    <row r="25" spans="1:4">
      <c r="A25" s="86">
        <v>22</v>
      </c>
      <c r="B25" s="87" t="s">
        <v>273</v>
      </c>
      <c r="C25" s="86"/>
      <c r="D25" s="88">
        <v>7000</v>
      </c>
    </row>
    <row r="26" spans="1:4">
      <c r="A26" s="86">
        <v>23</v>
      </c>
      <c r="B26" s="87" t="s">
        <v>254</v>
      </c>
      <c r="C26" s="88">
        <v>18000</v>
      </c>
      <c r="D26" s="86"/>
    </row>
    <row r="27" spans="1:4">
      <c r="A27" s="86">
        <v>24</v>
      </c>
      <c r="B27" s="87" t="s">
        <v>162</v>
      </c>
      <c r="C27" s="88">
        <v>5500</v>
      </c>
      <c r="D27" s="86"/>
    </row>
    <row r="28" spans="1:4">
      <c r="A28" s="86">
        <v>25</v>
      </c>
      <c r="B28" s="87" t="s">
        <v>274</v>
      </c>
      <c r="C28" s="86"/>
      <c r="D28" s="88">
        <v>9000</v>
      </c>
    </row>
    <row r="29" spans="1:4">
      <c r="A29" s="86">
        <v>26</v>
      </c>
      <c r="B29" s="87" t="s">
        <v>257</v>
      </c>
      <c r="C29" s="88">
        <v>12000</v>
      </c>
      <c r="D29" s="86"/>
    </row>
    <row r="30" spans="1:4">
      <c r="A30" s="86">
        <v>27</v>
      </c>
      <c r="B30" s="87" t="s">
        <v>172</v>
      </c>
      <c r="C30" s="88">
        <v>6000</v>
      </c>
      <c r="D30" s="86"/>
    </row>
    <row r="31" spans="1:4">
      <c r="A31" s="86">
        <v>28</v>
      </c>
      <c r="B31" s="87" t="s">
        <v>176</v>
      </c>
      <c r="C31" s="88">
        <v>4000</v>
      </c>
      <c r="D31" s="86"/>
    </row>
    <row r="32" spans="1:4">
      <c r="A32" s="86">
        <v>29</v>
      </c>
      <c r="B32" s="87" t="s">
        <v>260</v>
      </c>
      <c r="C32" s="86"/>
      <c r="D32" s="88">
        <v>3000</v>
      </c>
    </row>
    <row r="33" spans="1:4">
      <c r="A33" s="86">
        <v>30</v>
      </c>
      <c r="B33" s="87" t="s">
        <v>184</v>
      </c>
      <c r="C33" s="88">
        <v>8500</v>
      </c>
      <c r="D33" s="86"/>
    </row>
    <row r="34" spans="1:4">
      <c r="A34" s="86">
        <v>31</v>
      </c>
      <c r="B34" s="87" t="s">
        <v>187</v>
      </c>
      <c r="C34" s="88">
        <v>2500</v>
      </c>
      <c r="D34" s="86"/>
    </row>
    <row r="35" spans="1:4">
      <c r="A35" s="86">
        <v>32</v>
      </c>
      <c r="B35" s="87" t="s">
        <v>191</v>
      </c>
      <c r="C35" s="88">
        <v>5000</v>
      </c>
      <c r="D35" s="86"/>
    </row>
    <row r="36" spans="1:4">
      <c r="A36" s="90"/>
      <c r="B36" s="90" t="s">
        <v>275</v>
      </c>
      <c r="C36" s="66">
        <f>SUM(C5:C35)</f>
        <v>1082000</v>
      </c>
      <c r="D36" s="66">
        <f>SUM(D4:D35)</f>
        <v>1082000</v>
      </c>
    </row>
  </sheetData>
  <mergeCells count="1">
    <mergeCell ref="A1:D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D21" sqref="D21"/>
    </sheetView>
  </sheetViews>
  <sheetFormatPr defaultColWidth="9" defaultRowHeight="15" outlineLevelCol="5"/>
  <cols>
    <col min="1" max="1" width="25.7142857142857" customWidth="1"/>
    <col min="4" max="4" width="23.1428571428571" customWidth="1"/>
    <col min="5" max="5" width="16.1428571428571" customWidth="1"/>
    <col min="6" max="6" width="22.5714285714286" customWidth="1"/>
  </cols>
  <sheetData>
    <row r="1" ht="18.75" spans="1:6">
      <c r="A1" s="83" t="s">
        <v>276</v>
      </c>
      <c r="B1" s="83"/>
      <c r="C1" s="83"/>
      <c r="D1" s="83"/>
      <c r="E1" s="83"/>
      <c r="F1" s="83"/>
    </row>
    <row r="2" spans="1:6">
      <c r="A2" s="49" t="s">
        <v>100</v>
      </c>
      <c r="B2" s="50"/>
      <c r="C2" s="50"/>
      <c r="D2" s="51"/>
      <c r="E2" s="50"/>
      <c r="F2" s="52" t="s">
        <v>197</v>
      </c>
    </row>
    <row r="3" spans="1:6">
      <c r="A3" s="53" t="s">
        <v>95</v>
      </c>
      <c r="B3" s="53" t="s">
        <v>97</v>
      </c>
      <c r="C3" s="53" t="s">
        <v>97</v>
      </c>
      <c r="D3" s="53" t="s">
        <v>9</v>
      </c>
      <c r="E3" s="84" t="s">
        <v>97</v>
      </c>
      <c r="F3" s="53" t="s">
        <v>97</v>
      </c>
    </row>
    <row r="4" spans="1:6">
      <c r="A4" s="54" t="s">
        <v>277</v>
      </c>
      <c r="B4" s="56"/>
      <c r="C4" s="55">
        <v>90000</v>
      </c>
      <c r="D4" s="54" t="s">
        <v>278</v>
      </c>
      <c r="E4" s="55">
        <v>355000</v>
      </c>
      <c r="F4" s="85"/>
    </row>
    <row r="5" spans="1:6">
      <c r="A5" s="61" t="s">
        <v>279</v>
      </c>
      <c r="B5" s="60">
        <v>260000</v>
      </c>
      <c r="C5" s="62"/>
      <c r="D5" s="61" t="s">
        <v>233</v>
      </c>
      <c r="E5" s="59">
        <v>10000</v>
      </c>
      <c r="F5" s="57">
        <f>E4-E5</f>
        <v>345000</v>
      </c>
    </row>
    <row r="6" spans="1:6">
      <c r="A6" s="58" t="s">
        <v>280</v>
      </c>
      <c r="B6" s="59">
        <v>12000</v>
      </c>
      <c r="C6" s="60">
        <f>B5-B6</f>
        <v>248000</v>
      </c>
      <c r="D6" s="61" t="s">
        <v>281</v>
      </c>
      <c r="E6" s="62"/>
      <c r="F6" s="57">
        <v>110000</v>
      </c>
    </row>
    <row r="7" spans="1:6">
      <c r="A7" s="58" t="s">
        <v>282</v>
      </c>
      <c r="B7" s="62"/>
      <c r="C7" s="62"/>
      <c r="D7" s="61"/>
      <c r="E7" s="62"/>
      <c r="F7" s="63"/>
    </row>
    <row r="8" spans="1:6">
      <c r="A8" s="61" t="s">
        <v>124</v>
      </c>
      <c r="B8" s="62"/>
      <c r="C8" s="60">
        <v>4500</v>
      </c>
      <c r="D8" s="61"/>
      <c r="E8" s="62"/>
      <c r="F8" s="63"/>
    </row>
    <row r="9" spans="1:6">
      <c r="A9" s="61" t="s">
        <v>127</v>
      </c>
      <c r="B9" s="62"/>
      <c r="C9" s="60">
        <v>15000</v>
      </c>
      <c r="D9" s="61"/>
      <c r="E9" s="62"/>
      <c r="F9" s="63"/>
    </row>
    <row r="10" spans="1:6">
      <c r="A10" s="61" t="s">
        <v>283</v>
      </c>
      <c r="B10" s="62"/>
      <c r="C10" s="60">
        <v>97500</v>
      </c>
      <c r="D10" s="61"/>
      <c r="E10" s="62"/>
      <c r="F10" s="63"/>
    </row>
    <row r="11" spans="1:6">
      <c r="A11" s="64"/>
      <c r="B11" s="65"/>
      <c r="C11" s="66">
        <f>F11</f>
        <v>455000</v>
      </c>
      <c r="D11" s="64"/>
      <c r="E11" s="65"/>
      <c r="F11" s="66">
        <f>SUM(F5:F6)</f>
        <v>455000</v>
      </c>
    </row>
  </sheetData>
  <mergeCells count="1">
    <mergeCell ref="A1:F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F28" sqref="F28"/>
    </sheetView>
  </sheetViews>
  <sheetFormatPr defaultColWidth="9" defaultRowHeight="15" outlineLevelCol="5"/>
  <cols>
    <col min="1" max="1" width="44.1428571428571" customWidth="1"/>
    <col min="2" max="2" width="19.5714285714286" customWidth="1"/>
    <col min="3" max="3" width="21.8571428571429" customWidth="1"/>
    <col min="4" max="4" width="27.8571428571429" customWidth="1"/>
    <col min="5" max="5" width="14.7142857142857" customWidth="1"/>
    <col min="6" max="6" width="18.7142857142857" customWidth="1"/>
  </cols>
  <sheetData>
    <row r="1" ht="18.75" spans="1:6">
      <c r="A1" s="26" t="s">
        <v>284</v>
      </c>
      <c r="B1" s="26"/>
      <c r="C1" s="26"/>
      <c r="D1" s="26"/>
      <c r="E1" s="26"/>
      <c r="F1" s="26"/>
    </row>
    <row r="2" spans="1:6">
      <c r="A2" s="49" t="s">
        <v>100</v>
      </c>
      <c r="B2" s="50"/>
      <c r="C2" s="50"/>
      <c r="D2" s="51"/>
      <c r="E2" s="50"/>
      <c r="F2" s="52" t="s">
        <v>197</v>
      </c>
    </row>
    <row r="3" spans="1:6">
      <c r="A3" s="53" t="s">
        <v>95</v>
      </c>
      <c r="B3" s="53" t="s">
        <v>97</v>
      </c>
      <c r="C3" s="53" t="s">
        <v>97</v>
      </c>
      <c r="D3" s="53" t="s">
        <v>95</v>
      </c>
      <c r="E3" s="53" t="s">
        <v>97</v>
      </c>
      <c r="F3" s="53" t="s">
        <v>97</v>
      </c>
    </row>
    <row r="4" spans="1:6">
      <c r="A4" s="54" t="s">
        <v>285</v>
      </c>
      <c r="B4" s="55">
        <v>5000</v>
      </c>
      <c r="C4" s="56"/>
      <c r="D4" s="54" t="s">
        <v>286</v>
      </c>
      <c r="E4" s="56"/>
      <c r="F4" s="57">
        <v>97500</v>
      </c>
    </row>
    <row r="5" spans="1:6">
      <c r="A5" s="58" t="s">
        <v>287</v>
      </c>
      <c r="B5" s="59">
        <v>2000</v>
      </c>
      <c r="C5" s="60">
        <f>SUM(B4:B5)</f>
        <v>7000</v>
      </c>
      <c r="D5" s="61" t="s">
        <v>288</v>
      </c>
      <c r="E5" s="62"/>
      <c r="F5" s="57">
        <v>7000</v>
      </c>
    </row>
    <row r="6" spans="1:6">
      <c r="A6" s="61" t="s">
        <v>289</v>
      </c>
      <c r="B6" s="60">
        <v>22000</v>
      </c>
      <c r="C6" s="62"/>
      <c r="D6" s="61" t="s">
        <v>290</v>
      </c>
      <c r="E6" s="62"/>
      <c r="F6" s="57">
        <v>9000</v>
      </c>
    </row>
    <row r="7" spans="1:6">
      <c r="A7" s="58" t="s">
        <v>291</v>
      </c>
      <c r="B7" s="59">
        <v>3000</v>
      </c>
      <c r="C7" s="60">
        <f>SUM(B6:B7)</f>
        <v>25000</v>
      </c>
      <c r="D7" s="61" t="s">
        <v>292</v>
      </c>
      <c r="E7" s="62"/>
      <c r="F7" s="57">
        <v>3000</v>
      </c>
    </row>
    <row r="8" spans="1:6">
      <c r="A8" s="61" t="s">
        <v>293</v>
      </c>
      <c r="B8" s="62"/>
      <c r="C8" s="60">
        <v>6000</v>
      </c>
      <c r="D8" s="61"/>
      <c r="E8" s="62"/>
      <c r="F8" s="63"/>
    </row>
    <row r="9" spans="1:6">
      <c r="A9" s="61" t="s">
        <v>294</v>
      </c>
      <c r="B9" s="62"/>
      <c r="C9" s="60">
        <v>18000</v>
      </c>
      <c r="D9" s="61"/>
      <c r="E9" s="62"/>
      <c r="F9" s="63"/>
    </row>
    <row r="10" spans="1:6">
      <c r="A10" s="61" t="s">
        <v>295</v>
      </c>
      <c r="B10" s="62"/>
      <c r="C10" s="60">
        <v>5500</v>
      </c>
      <c r="D10" s="61"/>
      <c r="E10" s="62"/>
      <c r="F10" s="63"/>
    </row>
    <row r="11" spans="1:6">
      <c r="A11" s="61" t="s">
        <v>296</v>
      </c>
      <c r="B11" s="60">
        <v>6000</v>
      </c>
      <c r="C11" s="62"/>
      <c r="D11" s="61"/>
      <c r="E11" s="62"/>
      <c r="F11" s="63"/>
    </row>
    <row r="12" spans="1:6">
      <c r="A12" s="58" t="s">
        <v>297</v>
      </c>
      <c r="B12" s="59">
        <v>1500</v>
      </c>
      <c r="C12" s="60">
        <f>B11-B12</f>
        <v>4500</v>
      </c>
      <c r="D12" s="61"/>
      <c r="E12" s="62"/>
      <c r="F12" s="63"/>
    </row>
    <row r="13" spans="1:6">
      <c r="A13" s="61" t="s">
        <v>298</v>
      </c>
      <c r="B13" s="62"/>
      <c r="C13" s="60">
        <v>4000</v>
      </c>
      <c r="D13" s="61"/>
      <c r="E13" s="62"/>
      <c r="F13" s="63"/>
    </row>
    <row r="14" spans="1:6">
      <c r="A14" s="61" t="s">
        <v>299</v>
      </c>
      <c r="B14" s="62"/>
      <c r="C14" s="60">
        <v>8500</v>
      </c>
      <c r="D14" s="61"/>
      <c r="E14" s="62"/>
      <c r="F14" s="63"/>
    </row>
    <row r="15" spans="1:6">
      <c r="A15" s="61" t="s">
        <v>300</v>
      </c>
      <c r="B15" s="62"/>
      <c r="C15" s="60">
        <v>2500</v>
      </c>
      <c r="D15" s="61"/>
      <c r="E15" s="62"/>
      <c r="F15" s="63"/>
    </row>
    <row r="16" spans="1:6">
      <c r="A16" s="61" t="s">
        <v>301</v>
      </c>
      <c r="B16" s="62"/>
      <c r="C16" s="60">
        <v>20000</v>
      </c>
      <c r="D16" s="61"/>
      <c r="E16" s="62"/>
      <c r="F16" s="63"/>
    </row>
    <row r="17" spans="1:6">
      <c r="A17" s="61" t="s">
        <v>302</v>
      </c>
      <c r="B17" s="62"/>
      <c r="C17" s="60">
        <v>4250</v>
      </c>
      <c r="D17" s="61"/>
      <c r="E17" s="62"/>
      <c r="F17" s="63"/>
    </row>
    <row r="18" spans="1:6">
      <c r="A18" s="61" t="s">
        <v>303</v>
      </c>
      <c r="B18" s="62"/>
      <c r="C18" s="60">
        <v>4000</v>
      </c>
      <c r="D18" s="61"/>
      <c r="E18" s="62"/>
      <c r="F18" s="63"/>
    </row>
    <row r="19" spans="1:6">
      <c r="A19" s="61" t="s">
        <v>304</v>
      </c>
      <c r="B19" s="62"/>
      <c r="C19" s="60">
        <v>5000</v>
      </c>
      <c r="D19" s="61"/>
      <c r="E19" s="62"/>
      <c r="F19" s="63"/>
    </row>
    <row r="20" spans="1:6">
      <c r="A20" s="61" t="s">
        <v>305</v>
      </c>
      <c r="B20" s="62"/>
      <c r="C20" s="60">
        <v>2250</v>
      </c>
      <c r="D20" s="61"/>
      <c r="E20" s="62"/>
      <c r="F20" s="63"/>
    </row>
    <row r="21" spans="1:6">
      <c r="A21" s="64"/>
      <c r="B21" s="65"/>
      <c r="C21" s="66">
        <f>F21</f>
        <v>116500</v>
      </c>
      <c r="D21" s="64"/>
      <c r="E21" s="65"/>
      <c r="F21" s="66">
        <f>SUM(F4:F7)</f>
        <v>116500</v>
      </c>
    </row>
    <row r="23" spans="1:6">
      <c r="B23" s="67" t="s">
        <v>306</v>
      </c>
      <c r="C23" s="68"/>
      <c r="D23" s="68"/>
      <c r="E23" s="69"/>
    </row>
    <row r="24" spans="1:6">
      <c r="B24" s="70"/>
      <c r="C24" s="28" t="s">
        <v>9</v>
      </c>
      <c r="D24" s="28" t="s">
        <v>97</v>
      </c>
      <c r="E24" s="71" t="s">
        <v>97</v>
      </c>
    </row>
    <row r="25" spans="1:6">
      <c r="B25" s="72"/>
      <c r="C25" s="72" t="s">
        <v>307</v>
      </c>
      <c r="D25" s="73">
        <v>200000</v>
      </c>
      <c r="E25" s="74"/>
    </row>
    <row r="26" spans="1:6">
      <c r="B26" s="75" t="s">
        <v>308</v>
      </c>
      <c r="C26" s="72" t="s">
        <v>309</v>
      </c>
      <c r="D26" s="76" t="s">
        <v>310</v>
      </c>
      <c r="E26" s="77">
        <v>1667</v>
      </c>
    </row>
    <row r="27" spans="1:6">
      <c r="B27" s="75"/>
      <c r="C27" s="72" t="s">
        <v>311</v>
      </c>
      <c r="D27" s="73">
        <v>85000</v>
      </c>
      <c r="E27" s="74"/>
    </row>
    <row r="28" spans="1:6">
      <c r="B28" s="75" t="s">
        <v>308</v>
      </c>
      <c r="C28" s="72" t="s">
        <v>312</v>
      </c>
      <c r="D28" s="78" t="s">
        <v>313</v>
      </c>
      <c r="E28" s="74">
        <v>354</v>
      </c>
    </row>
    <row r="29" spans="1:6">
      <c r="B29" s="75"/>
      <c r="C29" s="72" t="s">
        <v>314</v>
      </c>
      <c r="D29" s="73">
        <v>40000</v>
      </c>
      <c r="E29" s="74"/>
    </row>
    <row r="30" spans="1:6">
      <c r="B30" s="75" t="s">
        <v>308</v>
      </c>
      <c r="C30" s="72" t="s">
        <v>315</v>
      </c>
      <c r="D30" s="78" t="s">
        <v>316</v>
      </c>
      <c r="E30" s="74">
        <v>333</v>
      </c>
    </row>
    <row r="31" spans="1:6">
      <c r="B31" s="79"/>
      <c r="C31" s="80" t="s">
        <v>317</v>
      </c>
      <c r="D31" s="73">
        <v>50000</v>
      </c>
      <c r="E31" s="74"/>
    </row>
    <row r="32" spans="1:6">
      <c r="B32" s="81" t="s">
        <v>308</v>
      </c>
      <c r="C32" s="82" t="s">
        <v>309</v>
      </c>
      <c r="D32" s="76" t="s">
        <v>318</v>
      </c>
      <c r="E32" s="74">
        <v>417</v>
      </c>
    </row>
  </sheetData>
  <mergeCells count="2">
    <mergeCell ref="A1:F1"/>
    <mergeCell ref="B23:E2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J16" sqref="J16"/>
    </sheetView>
  </sheetViews>
  <sheetFormatPr defaultColWidth="9" defaultRowHeight="15" outlineLevelCol="5"/>
  <cols>
    <col min="1" max="1" width="28.7142857142857" customWidth="1"/>
    <col min="2" max="2" width="13.8571428571429" customWidth="1"/>
    <col min="3" max="3" width="14.5714285714286" customWidth="1"/>
    <col min="4" max="4" width="27.4285714285714" customWidth="1"/>
    <col min="5" max="5" width="13" customWidth="1"/>
    <col min="6" max="6" width="12.1428571428571" customWidth="1"/>
  </cols>
  <sheetData>
    <row r="1" ht="18.75" spans="1:6">
      <c r="A1" s="26" t="s">
        <v>319</v>
      </c>
      <c r="B1" s="26"/>
      <c r="C1" s="26"/>
      <c r="D1" s="26"/>
      <c r="E1" s="26"/>
      <c r="F1" s="26"/>
    </row>
    <row r="2" spans="1:6">
      <c r="A2" s="7"/>
      <c r="B2" s="27"/>
      <c r="C2" s="27"/>
      <c r="D2" s="7"/>
      <c r="E2" s="7"/>
      <c r="F2" s="27"/>
    </row>
    <row r="3" spans="1:6">
      <c r="A3" s="28" t="s">
        <v>320</v>
      </c>
      <c r="B3" s="28" t="s">
        <v>321</v>
      </c>
      <c r="C3" s="28" t="s">
        <v>97</v>
      </c>
      <c r="D3" s="28" t="s">
        <v>322</v>
      </c>
      <c r="E3" s="28" t="s">
        <v>97</v>
      </c>
      <c r="F3" s="28" t="s">
        <v>97</v>
      </c>
    </row>
    <row r="4" spans="1:6">
      <c r="A4" s="29" t="s">
        <v>323</v>
      </c>
      <c r="B4" s="30">
        <v>450000</v>
      </c>
      <c r="C4" s="31"/>
      <c r="D4" s="32" t="s">
        <v>324</v>
      </c>
      <c r="E4" s="33"/>
      <c r="F4" s="34"/>
    </row>
    <row r="5" spans="1:6">
      <c r="A5" s="35" t="s">
        <v>325</v>
      </c>
      <c r="B5" s="36">
        <v>32729</v>
      </c>
      <c r="C5" s="37"/>
      <c r="D5" s="35" t="s">
        <v>307</v>
      </c>
      <c r="E5" s="38">
        <v>200000</v>
      </c>
      <c r="F5" s="39"/>
    </row>
    <row r="6" spans="1:6">
      <c r="A6" s="35"/>
      <c r="B6" s="40">
        <f>SUM(B4:B5)</f>
        <v>482729</v>
      </c>
      <c r="C6" s="37"/>
      <c r="D6" s="35" t="s">
        <v>326</v>
      </c>
      <c r="E6" s="36">
        <v>1667</v>
      </c>
      <c r="F6" s="38">
        <f t="shared" ref="F6:F10" si="0">E5-E6</f>
        <v>198333</v>
      </c>
    </row>
    <row r="7" spans="1:6">
      <c r="A7" s="35" t="s">
        <v>327</v>
      </c>
      <c r="B7" s="36">
        <v>12000</v>
      </c>
      <c r="C7" s="40">
        <f>B6-B7</f>
        <v>470729</v>
      </c>
      <c r="D7" s="35" t="s">
        <v>311</v>
      </c>
      <c r="E7" s="38">
        <v>85000</v>
      </c>
      <c r="F7" s="39"/>
    </row>
    <row r="8" spans="1:6">
      <c r="A8" s="41" t="s">
        <v>328</v>
      </c>
      <c r="B8" s="37"/>
      <c r="C8" s="37"/>
      <c r="D8" s="35" t="s">
        <v>329</v>
      </c>
      <c r="E8" s="36">
        <v>354</v>
      </c>
      <c r="F8" s="38">
        <f t="shared" si="0"/>
        <v>84646</v>
      </c>
    </row>
    <row r="9" spans="1:6">
      <c r="A9" s="35" t="s">
        <v>330</v>
      </c>
      <c r="B9" s="37"/>
      <c r="C9" s="40">
        <v>3000</v>
      </c>
      <c r="D9" s="35" t="s">
        <v>314</v>
      </c>
      <c r="E9" s="38">
        <v>40000</v>
      </c>
      <c r="F9" s="39"/>
    </row>
    <row r="10" spans="1:6">
      <c r="A10" s="35" t="s">
        <v>331</v>
      </c>
      <c r="B10" s="37"/>
      <c r="C10" s="40">
        <v>2000</v>
      </c>
      <c r="D10" s="35" t="s">
        <v>332</v>
      </c>
      <c r="E10" s="36">
        <v>333</v>
      </c>
      <c r="F10" s="38">
        <f t="shared" si="0"/>
        <v>39667</v>
      </c>
    </row>
    <row r="11" spans="1:6">
      <c r="A11" s="41" t="s">
        <v>333</v>
      </c>
      <c r="B11" s="37"/>
      <c r="C11" s="39"/>
      <c r="D11" s="42" t="s">
        <v>317</v>
      </c>
      <c r="E11" s="38">
        <v>50000</v>
      </c>
      <c r="F11" s="39"/>
    </row>
    <row r="12" spans="1:6">
      <c r="A12" s="35" t="s">
        <v>334</v>
      </c>
      <c r="B12" s="37"/>
      <c r="C12" s="40">
        <v>100000</v>
      </c>
      <c r="D12" s="42" t="s">
        <v>326</v>
      </c>
      <c r="E12" s="43">
        <v>417</v>
      </c>
      <c r="F12" s="38">
        <f>E11-E12</f>
        <v>49583</v>
      </c>
    </row>
    <row r="13" spans="1:6">
      <c r="A13" s="41" t="s">
        <v>335</v>
      </c>
      <c r="B13" s="39"/>
      <c r="C13" s="37"/>
      <c r="D13" s="41" t="s">
        <v>336</v>
      </c>
      <c r="E13" s="44"/>
      <c r="F13" s="39"/>
    </row>
    <row r="14" spans="1:6">
      <c r="A14" s="35" t="s">
        <v>130</v>
      </c>
      <c r="B14" s="39"/>
      <c r="C14" s="40">
        <v>21000</v>
      </c>
      <c r="D14" s="35" t="s">
        <v>337</v>
      </c>
      <c r="E14" s="44"/>
      <c r="F14" s="38">
        <v>137000</v>
      </c>
    </row>
    <row r="15" spans="1:6">
      <c r="A15" s="35" t="s">
        <v>241</v>
      </c>
      <c r="B15" s="39"/>
      <c r="C15" s="40">
        <v>125000</v>
      </c>
      <c r="D15" s="35" t="s">
        <v>338</v>
      </c>
      <c r="E15" s="44"/>
      <c r="F15" s="38">
        <v>42000</v>
      </c>
    </row>
    <row r="16" spans="1:6">
      <c r="A16" s="35"/>
      <c r="B16" s="39"/>
      <c r="C16" s="37"/>
      <c r="D16" s="35" t="s">
        <v>339</v>
      </c>
      <c r="E16" s="44"/>
      <c r="F16" s="38">
        <v>110000</v>
      </c>
    </row>
    <row r="17" spans="1:6">
      <c r="A17" s="35"/>
      <c r="B17" s="37"/>
      <c r="C17" s="37"/>
      <c r="D17" s="35" t="s">
        <v>340</v>
      </c>
      <c r="E17" s="44"/>
      <c r="F17" s="38">
        <v>1500</v>
      </c>
    </row>
    <row r="18" spans="1:6">
      <c r="A18" s="35"/>
      <c r="B18" s="37"/>
      <c r="C18" s="37"/>
      <c r="D18" s="45" t="s">
        <v>341</v>
      </c>
      <c r="E18" s="44"/>
      <c r="F18" s="39"/>
    </row>
    <row r="19" spans="1:6">
      <c r="A19" s="35"/>
      <c r="B19" s="37"/>
      <c r="C19" s="37"/>
      <c r="D19" s="35" t="s">
        <v>106</v>
      </c>
      <c r="E19" s="44"/>
      <c r="F19" s="38">
        <v>4000</v>
      </c>
    </row>
    <row r="20" spans="1:6">
      <c r="A20" s="35"/>
      <c r="B20" s="37"/>
      <c r="C20" s="39"/>
      <c r="D20" s="35" t="s">
        <v>107</v>
      </c>
      <c r="E20" s="44"/>
      <c r="F20" s="38">
        <v>55000</v>
      </c>
    </row>
    <row r="21" spans="1:6">
      <c r="A21" s="46"/>
      <c r="B21" s="43"/>
      <c r="C21" s="47">
        <f>SUM(C7:C19)</f>
        <v>721729</v>
      </c>
      <c r="D21" s="46"/>
      <c r="E21" s="48"/>
      <c r="F21" s="47">
        <f>SUM(F6:F20)</f>
        <v>721729</v>
      </c>
    </row>
  </sheetData>
  <mergeCells count="1">
    <mergeCell ref="A1:F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N8" sqref="N8"/>
    </sheetView>
  </sheetViews>
  <sheetFormatPr defaultColWidth="9.14285714285714" defaultRowHeight="15" outlineLevelCol="5"/>
  <cols>
    <col min="1" max="1" width="25.7142857142857" customWidth="1"/>
    <col min="2" max="2" width="51.7142857142857" customWidth="1"/>
    <col min="3" max="3" width="21" customWidth="1"/>
    <col min="4" max="4" width="98.5714285714286" customWidth="1"/>
  </cols>
  <sheetData>
    <row r="1" ht="18.75" spans="1:6">
      <c r="A1" s="1" t="s">
        <v>342</v>
      </c>
      <c r="B1" s="1"/>
      <c r="C1" s="1" t="s">
        <v>343</v>
      </c>
      <c r="D1" s="2" t="s">
        <v>344</v>
      </c>
      <c r="E1" s="3"/>
      <c r="F1" s="3"/>
    </row>
    <row r="2" spans="1:6">
      <c r="A2" s="4" t="s">
        <v>345</v>
      </c>
      <c r="B2" s="4" t="s">
        <v>346</v>
      </c>
      <c r="C2" s="5"/>
      <c r="D2" s="6" t="s">
        <v>347</v>
      </c>
      <c r="E2" s="7"/>
      <c r="F2" s="7"/>
    </row>
    <row r="3" spans="1:6">
      <c r="A3" s="8" t="s">
        <v>348</v>
      </c>
      <c r="B3" s="8" t="s">
        <v>349</v>
      </c>
      <c r="C3" s="9">
        <v>349500</v>
      </c>
      <c r="D3" s="10" t="s">
        <v>350</v>
      </c>
      <c r="E3" s="7"/>
      <c r="F3" s="7"/>
    </row>
    <row r="4" spans="1:6">
      <c r="A4" s="8" t="s">
        <v>351</v>
      </c>
      <c r="B4" s="8" t="s">
        <v>352</v>
      </c>
      <c r="C4" s="9">
        <v>151000</v>
      </c>
      <c r="D4" s="10" t="s">
        <v>353</v>
      </c>
      <c r="E4" s="7"/>
      <c r="F4" s="7"/>
    </row>
    <row r="5" spans="1:6">
      <c r="A5" s="11" t="s">
        <v>354</v>
      </c>
      <c r="B5" s="12" t="s">
        <v>355</v>
      </c>
      <c r="C5" s="13">
        <f>C3/C4</f>
        <v>2.31456953642384</v>
      </c>
      <c r="D5" s="14" t="s">
        <v>356</v>
      </c>
      <c r="E5" s="15"/>
      <c r="F5" s="15"/>
    </row>
    <row r="6" spans="1:6">
      <c r="A6" s="16" t="s">
        <v>357</v>
      </c>
      <c r="B6" s="17" t="s">
        <v>358</v>
      </c>
      <c r="C6" s="18"/>
      <c r="D6" s="10" t="s">
        <v>359</v>
      </c>
      <c r="E6" s="7"/>
      <c r="F6" s="7"/>
    </row>
    <row r="7" spans="1:6">
      <c r="A7" s="8" t="s">
        <v>360</v>
      </c>
      <c r="B7" s="10" t="s">
        <v>361</v>
      </c>
      <c r="C7" s="9">
        <v>238000</v>
      </c>
      <c r="D7" s="10" t="s">
        <v>362</v>
      </c>
      <c r="E7" s="7"/>
      <c r="F7" s="7"/>
    </row>
    <row r="8" spans="1:6">
      <c r="A8" s="8" t="s">
        <v>351</v>
      </c>
      <c r="B8" s="8" t="s">
        <v>352</v>
      </c>
      <c r="C8" s="9">
        <v>151000</v>
      </c>
      <c r="D8" s="10" t="s">
        <v>363</v>
      </c>
      <c r="E8" s="7"/>
      <c r="F8" s="7"/>
    </row>
    <row r="9" spans="1:6">
      <c r="A9" s="11" t="s">
        <v>364</v>
      </c>
      <c r="B9" s="19" t="s">
        <v>355</v>
      </c>
      <c r="C9" s="13">
        <f>C7/C8</f>
        <v>1.57615894039735</v>
      </c>
      <c r="D9" s="14" t="s">
        <v>365</v>
      </c>
      <c r="E9" s="15"/>
      <c r="F9" s="15"/>
    </row>
    <row r="10" spans="1:6">
      <c r="A10" s="20" t="s">
        <v>366</v>
      </c>
      <c r="B10" s="20" t="s">
        <v>367</v>
      </c>
      <c r="C10" s="21"/>
      <c r="D10" s="6" t="s">
        <v>368</v>
      </c>
      <c r="E10" s="7"/>
      <c r="F10" s="7"/>
    </row>
    <row r="11" spans="1:6">
      <c r="A11" s="10" t="s">
        <v>369</v>
      </c>
      <c r="B11" s="10" t="s">
        <v>370</v>
      </c>
      <c r="C11" s="9">
        <v>179000</v>
      </c>
      <c r="D11" s="10" t="s">
        <v>371</v>
      </c>
      <c r="E11" s="7"/>
      <c r="F11" s="7"/>
    </row>
    <row r="12" spans="1:6">
      <c r="A12" s="10" t="s">
        <v>351</v>
      </c>
      <c r="B12" s="10" t="s">
        <v>352</v>
      </c>
      <c r="C12" s="9">
        <v>151000</v>
      </c>
      <c r="D12" s="10" t="s">
        <v>372</v>
      </c>
      <c r="E12" s="7"/>
      <c r="F12" s="7"/>
    </row>
    <row r="13" spans="1:6">
      <c r="A13" s="22" t="s">
        <v>373</v>
      </c>
      <c r="B13" s="19" t="s">
        <v>355</v>
      </c>
      <c r="C13" s="13">
        <f>C11/C12</f>
        <v>1.18543046357616</v>
      </c>
      <c r="D13" s="14" t="s">
        <v>374</v>
      </c>
      <c r="E13" s="15"/>
      <c r="F13" s="15"/>
    </row>
    <row r="14" spans="1:6">
      <c r="A14" s="17" t="s">
        <v>375</v>
      </c>
      <c r="B14" s="17" t="s">
        <v>376</v>
      </c>
      <c r="C14" s="18"/>
      <c r="D14" s="10" t="s">
        <v>377</v>
      </c>
      <c r="E14" s="7"/>
      <c r="F14" s="7"/>
    </row>
    <row r="15" spans="1:6">
      <c r="A15" s="10" t="s">
        <v>378</v>
      </c>
      <c r="B15" s="10" t="s">
        <v>379</v>
      </c>
      <c r="C15" s="9">
        <v>251000</v>
      </c>
      <c r="D15" s="10" t="s">
        <v>380</v>
      </c>
      <c r="E15" s="7"/>
      <c r="F15" s="7"/>
    </row>
    <row r="16" spans="1:6">
      <c r="A16" s="10" t="s">
        <v>381</v>
      </c>
      <c r="B16" s="10" t="s">
        <v>382</v>
      </c>
      <c r="C16" s="9">
        <v>470729</v>
      </c>
      <c r="D16" s="10" t="s">
        <v>383</v>
      </c>
      <c r="E16" s="7"/>
      <c r="F16" s="7"/>
    </row>
    <row r="17" spans="1:6">
      <c r="A17" s="22" t="s">
        <v>384</v>
      </c>
      <c r="B17" s="19" t="s">
        <v>355</v>
      </c>
      <c r="C17" s="13">
        <f>C15/C16</f>
        <v>0.53321550191299</v>
      </c>
      <c r="D17" s="14" t="s">
        <v>385</v>
      </c>
      <c r="E17" s="15"/>
      <c r="F17" s="15"/>
    </row>
    <row r="18" spans="1:6">
      <c r="A18" s="17" t="s">
        <v>386</v>
      </c>
      <c r="B18" s="17" t="s">
        <v>387</v>
      </c>
      <c r="C18" s="18"/>
      <c r="D18" s="6" t="s">
        <v>388</v>
      </c>
      <c r="E18" s="7"/>
      <c r="F18" s="7"/>
    </row>
    <row r="19" spans="1:6">
      <c r="A19" s="10" t="s">
        <v>378</v>
      </c>
      <c r="B19" s="10" t="s">
        <v>379</v>
      </c>
      <c r="C19" s="9">
        <v>251000</v>
      </c>
      <c r="D19" s="10" t="s">
        <v>389</v>
      </c>
      <c r="E19" s="7"/>
      <c r="F19" s="7"/>
    </row>
    <row r="20" spans="1:6">
      <c r="A20" s="10" t="s">
        <v>390</v>
      </c>
      <c r="B20" s="10" t="s">
        <v>391</v>
      </c>
      <c r="C20" s="9">
        <v>721729</v>
      </c>
      <c r="D20" s="10" t="s">
        <v>392</v>
      </c>
      <c r="E20" s="7"/>
      <c r="F20" s="7"/>
    </row>
    <row r="21" spans="1:6">
      <c r="A21" s="22" t="s">
        <v>393</v>
      </c>
      <c r="B21" s="19" t="s">
        <v>355</v>
      </c>
      <c r="C21" s="13">
        <f>C19/C20</f>
        <v>0.347775965771086</v>
      </c>
      <c r="D21" s="14" t="s">
        <v>394</v>
      </c>
      <c r="E21" s="15"/>
      <c r="F21" s="15"/>
    </row>
    <row r="22" spans="1:6">
      <c r="A22" s="17" t="s">
        <v>395</v>
      </c>
      <c r="B22" s="17" t="s">
        <v>396</v>
      </c>
      <c r="C22" s="18"/>
      <c r="D22" s="6" t="s">
        <v>397</v>
      </c>
      <c r="E22" s="7"/>
      <c r="F22" s="7"/>
    </row>
    <row r="23" spans="1:6">
      <c r="A23" s="10" t="s">
        <v>398</v>
      </c>
      <c r="B23" s="10" t="s">
        <v>399</v>
      </c>
      <c r="C23" s="9">
        <v>345000</v>
      </c>
      <c r="D23" s="10" t="s">
        <v>400</v>
      </c>
      <c r="E23" s="7"/>
      <c r="F23" s="7"/>
    </row>
    <row r="24" spans="1:6">
      <c r="A24" s="10" t="s">
        <v>390</v>
      </c>
      <c r="B24" s="10" t="s">
        <v>391</v>
      </c>
      <c r="C24" s="9">
        <v>721729</v>
      </c>
      <c r="D24" s="10" t="s">
        <v>401</v>
      </c>
      <c r="E24" s="7"/>
      <c r="F24" s="7"/>
    </row>
    <row r="25" spans="1:6">
      <c r="A25" s="22" t="s">
        <v>402</v>
      </c>
      <c r="B25" s="19" t="s">
        <v>355</v>
      </c>
      <c r="C25" s="13">
        <f>C23/C24</f>
        <v>0.478018757733166</v>
      </c>
      <c r="D25" s="14" t="s">
        <v>403</v>
      </c>
      <c r="E25" s="15"/>
      <c r="F25" s="15"/>
    </row>
    <row r="26" spans="1:6">
      <c r="A26" s="17" t="s">
        <v>404</v>
      </c>
      <c r="B26" s="17" t="s">
        <v>405</v>
      </c>
      <c r="C26" s="18"/>
      <c r="D26" s="6" t="s">
        <v>406</v>
      </c>
      <c r="E26" s="7"/>
      <c r="F26" s="7"/>
    </row>
    <row r="27" spans="1:6">
      <c r="A27" s="23" t="s">
        <v>398</v>
      </c>
      <c r="B27" s="10" t="s">
        <v>399</v>
      </c>
      <c r="C27" s="9">
        <v>345000</v>
      </c>
      <c r="D27" s="10" t="s">
        <v>407</v>
      </c>
      <c r="E27" s="7"/>
      <c r="F27" s="7"/>
    </row>
    <row r="28" spans="1:6">
      <c r="A28" s="23" t="s">
        <v>408</v>
      </c>
      <c r="B28" s="10" t="s">
        <v>409</v>
      </c>
      <c r="C28" s="9">
        <v>198500</v>
      </c>
      <c r="D28" s="10" t="s">
        <v>410</v>
      </c>
      <c r="E28" s="7"/>
      <c r="F28" s="7"/>
    </row>
    <row r="29" spans="1:6">
      <c r="A29" s="22" t="s">
        <v>411</v>
      </c>
      <c r="B29" s="19" t="s">
        <v>355</v>
      </c>
      <c r="C29" s="13">
        <f>C27/C28</f>
        <v>1.73803526448363</v>
      </c>
      <c r="D29" s="24" t="s">
        <v>412</v>
      </c>
      <c r="E29" s="15"/>
      <c r="F29" s="15"/>
    </row>
    <row r="30" spans="1:6">
      <c r="A30" s="17" t="s">
        <v>413</v>
      </c>
      <c r="B30" s="17" t="s">
        <v>414</v>
      </c>
      <c r="C30" s="18"/>
      <c r="D30" s="10" t="s">
        <v>415</v>
      </c>
      <c r="E30" s="7"/>
      <c r="F30" s="7"/>
    </row>
    <row r="31" spans="1:6">
      <c r="A31" s="23" t="s">
        <v>416</v>
      </c>
      <c r="B31" s="10" t="s">
        <v>417</v>
      </c>
      <c r="C31" s="9">
        <v>247500</v>
      </c>
      <c r="D31" s="10" t="s">
        <v>418</v>
      </c>
      <c r="E31" s="7"/>
      <c r="F31" s="7"/>
    </row>
    <row r="32" spans="1:6">
      <c r="A32" s="23" t="s">
        <v>419</v>
      </c>
      <c r="B32" s="10" t="s">
        <v>420</v>
      </c>
      <c r="C32" s="9">
        <v>100000</v>
      </c>
      <c r="D32" s="10" t="s">
        <v>421</v>
      </c>
      <c r="E32" s="7"/>
      <c r="F32" s="7"/>
    </row>
    <row r="33" spans="1:6">
      <c r="A33" s="22" t="s">
        <v>422</v>
      </c>
      <c r="B33" s="25" t="s">
        <v>355</v>
      </c>
      <c r="C33" s="13">
        <f>C31/C32</f>
        <v>2.475</v>
      </c>
      <c r="D33" s="14" t="s">
        <v>423</v>
      </c>
      <c r="E33" s="15"/>
      <c r="F33" s="15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home</Company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Transaction</vt:lpstr>
      <vt:lpstr>Journal entries</vt:lpstr>
      <vt:lpstr>ledger</vt:lpstr>
      <vt:lpstr>Trial balance</vt:lpstr>
      <vt:lpstr>Trading Account</vt:lpstr>
      <vt:lpstr>P&amp;L Account</vt:lpstr>
      <vt:lpstr>Balance sheet</vt:lpstr>
      <vt:lpstr>Ratio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Sritharkishore</cp:lastModifiedBy>
  <dcterms:created xsi:type="dcterms:W3CDTF">2026-10-13T03:21:00Z</dcterms:created>
  <dcterms:modified xsi:type="dcterms:W3CDTF">2026-10-15T03:12:56Z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1E2A03798CF442D197748589638DFB58_13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